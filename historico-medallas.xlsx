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9" sheetId="1" r:id="rId4"/>
    <sheet state="visible" name="2010" sheetId="2" r:id="rId5"/>
    <sheet state="visible" name="2011" sheetId="3" r:id="rId6"/>
    <sheet state="visible" name="2012" sheetId="4" r:id="rId7"/>
    <sheet state="visible" name="2013" sheetId="5" r:id="rId8"/>
    <sheet state="visible" name="2014" sheetId="6" r:id="rId9"/>
    <sheet state="visible" name="2015" sheetId="7" r:id="rId10"/>
    <sheet state="visible" name="2016" sheetId="8" r:id="rId11"/>
    <sheet state="visible" name="2017" sheetId="9" r:id="rId12"/>
    <sheet state="visible" name="2018" sheetId="10" r:id="rId13"/>
    <sheet state="visible" name="2019" sheetId="11" r:id="rId14"/>
    <sheet state="visible" name="2020" sheetId="12" r:id="rId15"/>
    <sheet state="visible" name="2021" sheetId="13" r:id="rId16"/>
    <sheet state="visible" name="2022" sheetId="14" r:id="rId17"/>
    <sheet state="visible" name="2023" sheetId="15" r:id="rId18"/>
    <sheet state="visible" name="2024" sheetId="16" r:id="rId19"/>
    <sheet state="visible" name="2025" sheetId="17" r:id="rId20"/>
    <sheet state="visible" name="CATAN" sheetId="18" r:id="rId21"/>
    <sheet state="visible" name="RESULTADOS" sheetId="19" r:id="rId22"/>
  </sheets>
  <definedNames>
    <definedName hidden="1" localSheetId="0" name="_xlnm._FilterDatabase">'2009'!$A$1:$O$52</definedName>
    <definedName hidden="1" localSheetId="1" name="_xlnm._FilterDatabase">'2010'!$A$1:$O$74</definedName>
    <definedName hidden="1" localSheetId="2" name="_xlnm._FilterDatabase">'2011'!$A$1:$P$82</definedName>
    <definedName hidden="1" localSheetId="3" name="_xlnm._FilterDatabase">'2012'!$A$1:$P$77</definedName>
    <definedName hidden="1" localSheetId="4" name="_xlnm._FilterDatabase">'2013'!$A$1:$P$48</definedName>
    <definedName hidden="1" localSheetId="5" name="_xlnm._FilterDatabase">'2014'!$A$1:$P$45</definedName>
    <definedName hidden="1" localSheetId="6" name="_xlnm._FilterDatabase">'2015'!$A$1:$AJ$47</definedName>
    <definedName hidden="1" localSheetId="7" name="_xlnm._FilterDatabase">'2016'!$A$1:$R$62</definedName>
    <definedName hidden="1" localSheetId="9" name="_xlnm._FilterDatabase">'2018'!$A$1:$R$1</definedName>
    <definedName hidden="1" localSheetId="10" name="_xlnm._FilterDatabase">'2019'!$A$1:$T$93</definedName>
    <definedName hidden="1" localSheetId="12" name="_xlnm._FilterDatabase">'2021'!$A$1:$S$54</definedName>
    <definedName hidden="1" localSheetId="13" name="_xlnm._FilterDatabase">'2022'!$A$1:$T$70</definedName>
  </definedNames>
  <calcPr/>
  <extLst>
    <ext uri="GoogleSheetsCustomDataVersion2">
      <go:sheetsCustomData xmlns:go="http://customooxmlschemas.google.com/" r:id="rId23" roundtripDataChecksum="AQEpAyUFBj2PCBpX3P9WN6tjYt3+d2HwhA/l3qol58A="/>
    </ext>
  </extLst>
</workbook>
</file>

<file path=xl/sharedStrings.xml><?xml version="1.0" encoding="utf-8"?>
<sst xmlns="http://schemas.openxmlformats.org/spreadsheetml/2006/main" count="16320" uniqueCount="626">
  <si>
    <t>David</t>
  </si>
  <si>
    <t>Carlos</t>
  </si>
  <si>
    <t>Laura</t>
  </si>
  <si>
    <t>Jorge</t>
  </si>
  <si>
    <t>Sergio</t>
  </si>
  <si>
    <t>Poli</t>
  </si>
  <si>
    <t>Nuria</t>
  </si>
  <si>
    <t>Sara</t>
  </si>
  <si>
    <t>Dario</t>
  </si>
  <si>
    <t>Pedro</t>
  </si>
  <si>
    <t>Inés</t>
  </si>
  <si>
    <t>Chema</t>
  </si>
  <si>
    <t>Maite</t>
  </si>
  <si>
    <t>Abuelos</t>
  </si>
  <si>
    <t>Tiro con pistola de agua</t>
  </si>
  <si>
    <t>PLATA</t>
  </si>
  <si>
    <t>ORO</t>
  </si>
  <si>
    <t>BRONCE</t>
  </si>
  <si>
    <t>Fútbol</t>
  </si>
  <si>
    <t>Carrera</t>
  </si>
  <si>
    <t>C. Catán-1</t>
  </si>
  <si>
    <t>Béisbol</t>
  </si>
  <si>
    <t>Comba</t>
  </si>
  <si>
    <t>Frontón</t>
  </si>
  <si>
    <t>Carrera bicis</t>
  </si>
  <si>
    <t>Sillas</t>
  </si>
  <si>
    <t>Tirachinas</t>
  </si>
  <si>
    <t>Petanca</t>
  </si>
  <si>
    <t>Natación</t>
  </si>
  <si>
    <t>Baloncesto</t>
  </si>
  <si>
    <t>C.Catán-2</t>
  </si>
  <si>
    <t>Dardos</t>
  </si>
  <si>
    <t>Bicis</t>
  </si>
  <si>
    <t>Burro</t>
  </si>
  <si>
    <t>Lanzamiento de disco</t>
  </si>
  <si>
    <t xml:space="preserve"> </t>
  </si>
  <si>
    <t>Cricket</t>
  </si>
  <si>
    <t>Fórmula 1</t>
  </si>
  <si>
    <t>Romp…</t>
  </si>
  <si>
    <t>Pañuelo</t>
  </si>
  <si>
    <t>Relevos</t>
  </si>
  <si>
    <t>C.Catán 3º</t>
  </si>
  <si>
    <t>Cinquillo</t>
  </si>
  <si>
    <t>C.Catán 4º</t>
  </si>
  <si>
    <t>Criquet</t>
  </si>
  <si>
    <t>Piscina</t>
  </si>
  <si>
    <t>C.Catán 5º</t>
  </si>
  <si>
    <t>C.Catán 6º</t>
  </si>
  <si>
    <t>Lazamiento de disco</t>
  </si>
  <si>
    <t>Gimncana</t>
  </si>
  <si>
    <t>C.Catán 7º</t>
  </si>
  <si>
    <t>8 ORO</t>
  </si>
  <si>
    <t>7 ORO</t>
  </si>
  <si>
    <t>6 ORO</t>
  </si>
  <si>
    <t>5 ORO</t>
  </si>
  <si>
    <t>4 ORO</t>
  </si>
  <si>
    <t>2 ORO</t>
  </si>
  <si>
    <t>1 ORO</t>
  </si>
  <si>
    <t>9 PLATA</t>
  </si>
  <si>
    <t>4 PLATA</t>
  </si>
  <si>
    <t>5 PLATA</t>
  </si>
  <si>
    <t>6 PLATA</t>
  </si>
  <si>
    <t>1 PLATA</t>
  </si>
  <si>
    <t>2 BRONCES</t>
  </si>
  <si>
    <t>2 BRONCE</t>
  </si>
  <si>
    <t>4 BRONCE</t>
  </si>
  <si>
    <t>6 BRONCE</t>
  </si>
  <si>
    <t>5 BRONCE</t>
  </si>
  <si>
    <t>1 BRONCE</t>
  </si>
  <si>
    <t>TOTAL</t>
  </si>
  <si>
    <t>POSICIONES</t>
  </si>
  <si>
    <t>1º</t>
  </si>
  <si>
    <t>4º</t>
  </si>
  <si>
    <t>5º</t>
  </si>
  <si>
    <t>6º</t>
  </si>
  <si>
    <t>7º</t>
  </si>
  <si>
    <t>2º</t>
  </si>
  <si>
    <t>8º</t>
  </si>
  <si>
    <t>9º</t>
  </si>
  <si>
    <t>10º</t>
  </si>
  <si>
    <t>3º</t>
  </si>
  <si>
    <t>11º</t>
  </si>
  <si>
    <t>Poly</t>
  </si>
  <si>
    <t>CAMPEON</t>
  </si>
  <si>
    <t>Nº de pruebas (Check)</t>
  </si>
  <si>
    <t>victorias totales</t>
  </si>
  <si>
    <t>ORO=1</t>
  </si>
  <si>
    <t>PLATA=0,5</t>
  </si>
  <si>
    <t>BRONCE=0,25</t>
  </si>
  <si>
    <t>v</t>
  </si>
  <si>
    <t>x</t>
  </si>
  <si>
    <t>Catán</t>
  </si>
  <si>
    <t>Mario Kart</t>
  </si>
  <si>
    <t>Búsqueda de cosas</t>
  </si>
  <si>
    <t>Chapas</t>
  </si>
  <si>
    <t>Búsqueda submarina</t>
  </si>
  <si>
    <t>Tirar muñeco piscina</t>
  </si>
  <si>
    <t>Carrera 1</t>
  </si>
  <si>
    <t>Carrera 2</t>
  </si>
  <si>
    <t>Llegar a Sara</t>
  </si>
  <si>
    <t>Hacer el pino</t>
  </si>
  <si>
    <t>Impulso sin nado</t>
  </si>
  <si>
    <t>Impulso con nado</t>
  </si>
  <si>
    <t>Pasar debajo de pies</t>
  </si>
  <si>
    <t>Salto desde bordillo</t>
  </si>
  <si>
    <t>Carrera sin nado</t>
  </si>
  <si>
    <t>Llegar a escalera</t>
  </si>
  <si>
    <t>Llegar a David</t>
  </si>
  <si>
    <t>Llegar a Pedro</t>
  </si>
  <si>
    <t>UNO marca Reg.</t>
  </si>
  <si>
    <t>Volleyball</t>
  </si>
  <si>
    <t>Abdominales</t>
  </si>
  <si>
    <t>Carrera de relebos</t>
  </si>
  <si>
    <t>Lanzamiento de pelota</t>
  </si>
  <si>
    <t>Lanzamiento de dardos</t>
  </si>
  <si>
    <t>Porra partido Alemania-España</t>
  </si>
  <si>
    <t>Tirarse por el tobogan</t>
  </si>
  <si>
    <t>Tocar todas las escaleras</t>
  </si>
  <si>
    <t>Carrera de buceo</t>
  </si>
  <si>
    <t>Llegar a mesa</t>
  </si>
  <si>
    <t>Equilibrio en bici</t>
  </si>
  <si>
    <t>Carrera en bici</t>
  </si>
  <si>
    <t>Fresbee</t>
  </si>
  <si>
    <t>Ardilla listilla</t>
  </si>
  <si>
    <t>Bolos</t>
  </si>
  <si>
    <t>Gimcana</t>
  </si>
  <si>
    <t>Lanzamiento de agua desde pistola a un cubo</t>
  </si>
  <si>
    <t>Porra partido Holanda-España</t>
  </si>
  <si>
    <t>Participaciones</t>
  </si>
  <si>
    <t>Puntos</t>
  </si>
  <si>
    <t>Promedio</t>
  </si>
  <si>
    <t>Check</t>
  </si>
  <si>
    <t>Daypo</t>
  </si>
  <si>
    <t>Daypo adultos</t>
  </si>
  <si>
    <t>Daypo jóvenes</t>
  </si>
  <si>
    <t>participaciones</t>
  </si>
  <si>
    <t>promedio</t>
  </si>
  <si>
    <t>Castrillo</t>
  </si>
  <si>
    <t>Castrillo adulto</t>
  </si>
  <si>
    <t>Castrillo jóvenes</t>
  </si>
  <si>
    <t>Arroni Del Riego</t>
  </si>
  <si>
    <t>Del Riego adulto</t>
  </si>
  <si>
    <t>Del Riego jóvenes</t>
  </si>
  <si>
    <t>Jóvenes</t>
  </si>
  <si>
    <t>Adultos</t>
  </si>
  <si>
    <t>Campeón</t>
  </si>
  <si>
    <t>Victorias totales</t>
  </si>
  <si>
    <t>ORO=3</t>
  </si>
  <si>
    <t>PLATA=2</t>
  </si>
  <si>
    <t>BRONCE=1</t>
  </si>
  <si>
    <t>Anuncia</t>
  </si>
  <si>
    <t>Roberto</t>
  </si>
  <si>
    <t>Salto</t>
  </si>
  <si>
    <t>Cocodrilo</t>
  </si>
  <si>
    <t>Tirar bici</t>
  </si>
  <si>
    <t>Carrera bici infantil</t>
  </si>
  <si>
    <t>Carrera bici adulto</t>
  </si>
  <si>
    <t>Apuesta</t>
  </si>
  <si>
    <t>Carrera bici</t>
  </si>
  <si>
    <t>Gimcana infantil</t>
  </si>
  <si>
    <t>Gimcana adulto</t>
  </si>
  <si>
    <t>Fútbol con palos de criquet</t>
  </si>
  <si>
    <t>Porra F1</t>
  </si>
  <si>
    <t>7:30 (cartas)</t>
  </si>
  <si>
    <t>Pasar parque mojado</t>
  </si>
  <si>
    <t>Tirar pelota infantil</t>
  </si>
  <si>
    <t>Tirar pelota adulto</t>
  </si>
  <si>
    <t>Lanzar pelota grande</t>
  </si>
  <si>
    <t>Lanzar pelota grande 2 manos</t>
  </si>
  <si>
    <t>Rebotar pelota contra pared</t>
  </si>
  <si>
    <t>Tirar pelota tenis contra piscina</t>
  </si>
  <si>
    <t>Frontón infantil</t>
  </si>
  <si>
    <t>Meter a canasta con pelotas de tenis</t>
  </si>
  <si>
    <t>Coger pelotas de tenis con raquetas</t>
  </si>
  <si>
    <t>Tirar a caldero con pelotas de tenis</t>
  </si>
  <si>
    <t>Palomita blanca es</t>
  </si>
  <si>
    <t>Pistola de agua a cubo</t>
  </si>
  <si>
    <t>Pistola de agua a cubo infantil</t>
  </si>
  <si>
    <t>Impulso sin meter la cabeza hacia adelante</t>
  </si>
  <si>
    <t>Impulso sin meter la cabeza hacia atrás</t>
  </si>
  <si>
    <t>Llegar a puente (carrera)</t>
  </si>
  <si>
    <t>Impulso submarino</t>
  </si>
  <si>
    <t>Lanzar a Sara</t>
  </si>
  <si>
    <t>Llegar a Dario</t>
  </si>
  <si>
    <t>Pasar debajo de piernas</t>
  </si>
  <si>
    <t>Carrera hacia puente</t>
  </si>
  <si>
    <t>Carrera hacia David</t>
  </si>
  <si>
    <t>Tiempo Tobogán azul</t>
  </si>
  <si>
    <t>Tiempo Tobogán negro</t>
  </si>
  <si>
    <t>Carrera con gente encima</t>
  </si>
  <si>
    <t>Impulso sin nado buceando</t>
  </si>
  <si>
    <t>Impulso sin nado buceando infantil</t>
  </si>
  <si>
    <t>Buceo</t>
  </si>
  <si>
    <t>Lanzar a Dario</t>
  </si>
  <si>
    <t>Carrera hasta escalera</t>
  </si>
  <si>
    <t>Fresbee por parejas</t>
  </si>
  <si>
    <t>Call of Duty</t>
  </si>
  <si>
    <t>Agitar Coca Cola</t>
  </si>
  <si>
    <t>Tirar papel higiénico</t>
  </si>
  <si>
    <t>Carlos y Jorge</t>
  </si>
  <si>
    <t>Cartas</t>
  </si>
  <si>
    <t>Badminton</t>
  </si>
  <si>
    <t>Volley</t>
  </si>
  <si>
    <t>Lanzamiento pelota en distancia Jr.</t>
  </si>
  <si>
    <t>Lanzamiento pelota en distancia Sr.</t>
  </si>
  <si>
    <t>Canasta en piscina</t>
  </si>
  <si>
    <t>Petanca con pelota de tenis desde balcón</t>
  </si>
  <si>
    <t>Lanzamiento badminton desde balcón</t>
  </si>
  <si>
    <t>Petanca con peloTa de badminton desde balcón</t>
  </si>
  <si>
    <t>Resistencia en agua Jr.</t>
  </si>
  <si>
    <t>Buscar bajo agua Jr.</t>
  </si>
  <si>
    <t>Gymkana</t>
  </si>
  <si>
    <t>Escondite en bici</t>
  </si>
  <si>
    <t>Aceleración en bici</t>
  </si>
  <si>
    <t>English</t>
  </si>
  <si>
    <t>Futbolin</t>
  </si>
  <si>
    <t>Carrera lenta en bici</t>
  </si>
  <si>
    <t>Cartas: El pueblo</t>
  </si>
  <si>
    <t>La Rana</t>
  </si>
  <si>
    <t>Buscar bajo agua Jr. Animales</t>
  </si>
  <si>
    <t>Buscar animales determinados bajo el agua Jr.</t>
  </si>
  <si>
    <t>Dar una vuelta a la piscina nadando Jr.</t>
  </si>
  <si>
    <t>Subir escaleras con balón de baloncesto</t>
  </si>
  <si>
    <t>Voltereta buceando</t>
  </si>
  <si>
    <t>Buceo con impulso</t>
  </si>
  <si>
    <t>Buceo sin impulso</t>
  </si>
  <si>
    <t>Carrera nadando con obstáculos</t>
  </si>
  <si>
    <t>Pino bajo agua</t>
  </si>
  <si>
    <t>Impulso con nado JR.</t>
  </si>
  <si>
    <t>Impulso sin nado JR.</t>
  </si>
  <si>
    <t>Meter a canasta desde balcón</t>
  </si>
  <si>
    <t>Lanzar de balcón al suelo y biceversa</t>
  </si>
  <si>
    <t>Futbolín playmobil</t>
  </si>
  <si>
    <t>Lanzamiento con patada a pelota Jr.</t>
  </si>
  <si>
    <t>Patada a pelota</t>
  </si>
  <si>
    <t>Patada con carrerilla</t>
  </si>
  <si>
    <t>Salto de longitud con carrerilla</t>
  </si>
  <si>
    <t>Salto a pies juntos</t>
  </si>
  <si>
    <t>Lanzamiento de longitud de dardo</t>
  </si>
  <si>
    <t>Lanzamiento de avión de papel</t>
  </si>
  <si>
    <t>Carrera Jr.</t>
  </si>
  <si>
    <t>100 metros lisos</t>
  </si>
  <si>
    <t>100 metros lisos Jr.</t>
  </si>
  <si>
    <t>Gymkana Jr.</t>
  </si>
  <si>
    <t>Meter agua en cubo</t>
  </si>
  <si>
    <t>Meter agua en cubo Jr.</t>
  </si>
  <si>
    <t>Burro baloncesto</t>
  </si>
  <si>
    <t>El pueblo (cartas)</t>
  </si>
  <si>
    <t>Ladrón (cartas)</t>
  </si>
  <si>
    <t>Quién choca el último en bicicleta</t>
  </si>
  <si>
    <t>Fresbee petanca</t>
  </si>
  <si>
    <t>Buscar pelota en el campo de enfrente</t>
  </si>
  <si>
    <t>Futbolín</t>
  </si>
  <si>
    <t>Ajedrez</t>
  </si>
  <si>
    <t>Minecraft</t>
  </si>
  <si>
    <t>Aguantar bajo el agua Jr.</t>
  </si>
  <si>
    <t>PS2 Formula 1 con volante</t>
  </si>
  <si>
    <t>Lanzamiento avión de papel</t>
  </si>
  <si>
    <t>Lanzamiento de pelota a piscina</t>
  </si>
  <si>
    <t>Lanzamiento de pelota en distancia</t>
  </si>
  <si>
    <t>Proximidad bádminton</t>
  </si>
  <si>
    <t>Lanzamiento de bádminton</t>
  </si>
  <si>
    <t>Toques bádminton</t>
  </si>
  <si>
    <t>BICI El que más lejos llegue</t>
  </si>
  <si>
    <t>BICI Aceleración</t>
  </si>
  <si>
    <t>BICI Escondite</t>
  </si>
  <si>
    <t>Interferencias</t>
  </si>
  <si>
    <t>Quema</t>
  </si>
  <si>
    <t>Araña</t>
  </si>
  <si>
    <t>Adivina qué es</t>
  </si>
  <si>
    <t>AGUA- Hacer el pino</t>
  </si>
  <si>
    <t>AGUA- Natación</t>
  </si>
  <si>
    <t>AGUA- Caminar en el agua</t>
  </si>
  <si>
    <t>AGUA- Buceo</t>
  </si>
  <si>
    <t>AGUA- Buceo hacia atrás - mariposa</t>
  </si>
  <si>
    <t>AGUA- Lucha en caballito</t>
  </si>
  <si>
    <t>AGUA- Buceo sin impulso</t>
  </si>
  <si>
    <t>COD</t>
  </si>
  <si>
    <t>pueblo</t>
  </si>
  <si>
    <t>7ymedio</t>
  </si>
  <si>
    <t>guiñar ojo</t>
  </si>
  <si>
    <t>poker</t>
  </si>
  <si>
    <t>catán</t>
  </si>
  <si>
    <t>lanzar avión</t>
  </si>
  <si>
    <t>lanzar pelota</t>
  </si>
  <si>
    <t>bolos</t>
  </si>
  <si>
    <t>call of duty</t>
  </si>
  <si>
    <t>porra F-D</t>
  </si>
  <si>
    <t>burro</t>
  </si>
  <si>
    <t>trenes</t>
  </si>
  <si>
    <t>ajedrez</t>
  </si>
  <si>
    <t>ps2 fifa</t>
  </si>
  <si>
    <t>quema</t>
  </si>
  <si>
    <t>monstruos cartas</t>
  </si>
  <si>
    <t>pañuelo</t>
  </si>
  <si>
    <t>sillas</t>
  </si>
  <si>
    <t>petanca</t>
  </si>
  <si>
    <t>ladron y policia</t>
  </si>
  <si>
    <t>dixit</t>
  </si>
  <si>
    <t>pistas</t>
  </si>
  <si>
    <t>piscina: llegar de un lado a otro</t>
  </si>
  <si>
    <t>piscina: buzeo sin nado</t>
  </si>
  <si>
    <t>piscina: buzeo continuo</t>
  </si>
  <si>
    <t>volteretas agua</t>
  </si>
  <si>
    <t>pino bajo agua</t>
  </si>
  <si>
    <t>? sen 1 Jur</t>
  </si>
  <si>
    <t>ladrón y policía</t>
  </si>
  <si>
    <t>David, Inés, Pedro, Poli, Chema, Maite</t>
  </si>
  <si>
    <t>Jovenes</t>
  </si>
  <si>
    <t>los demás menos: Anuncia, Roberto</t>
  </si>
  <si>
    <t>abuelos</t>
  </si>
  <si>
    <t xml:space="preserve">puntos </t>
  </si>
  <si>
    <t>total de pruebas</t>
  </si>
  <si>
    <t>Bádminton</t>
  </si>
  <si>
    <t>oro</t>
  </si>
  <si>
    <t>plata</t>
  </si>
  <si>
    <t>bronce</t>
  </si>
  <si>
    <t>F1</t>
  </si>
  <si>
    <t>buzz niños</t>
  </si>
  <si>
    <t xml:space="preserve">buzz </t>
  </si>
  <si>
    <t>interferencias</t>
  </si>
  <si>
    <t>sumas</t>
  </si>
  <si>
    <t>criquet</t>
  </si>
  <si>
    <t>parchis</t>
  </si>
  <si>
    <t>mario party</t>
  </si>
  <si>
    <t>pringels</t>
  </si>
  <si>
    <t>fronton</t>
  </si>
  <si>
    <t>ginkana</t>
  </si>
  <si>
    <t>campos medios</t>
  </si>
  <si>
    <t>sillas junior</t>
  </si>
  <si>
    <t>cuentos</t>
  </si>
  <si>
    <t>7 y media</t>
  </si>
  <si>
    <t>Piscina: rapidez nadar</t>
  </si>
  <si>
    <t>Piscina: nadar sin respirar</t>
  </si>
  <si>
    <t>Piscina: impulso</t>
  </si>
  <si>
    <t>Piscina: pino</t>
  </si>
  <si>
    <t>volley</t>
  </si>
  <si>
    <t>dardos</t>
  </si>
  <si>
    <t>pompitas</t>
  </si>
  <si>
    <t>aviones</t>
  </si>
  <si>
    <t>mario kart</t>
  </si>
  <si>
    <t>cuadrado</t>
  </si>
  <si>
    <t>Sing Star</t>
  </si>
  <si>
    <t>Adultos :</t>
  </si>
  <si>
    <t>Jovenes :</t>
  </si>
  <si>
    <t>Hana</t>
  </si>
  <si>
    <t>Perdigones</t>
  </si>
  <si>
    <t>Lanzar avión</t>
  </si>
  <si>
    <t>Lanzar pelota (tenis)</t>
  </si>
  <si>
    <t>Lanzar pelotas (longitud)</t>
  </si>
  <si>
    <t>Chocolates (adivinar el..)</t>
  </si>
  <si>
    <t>Porra partido basket España-Francia Olimpiadas</t>
  </si>
  <si>
    <t>Dibujos</t>
  </si>
  <si>
    <t>Buzz</t>
  </si>
  <si>
    <t>Incógnito</t>
  </si>
  <si>
    <t>Saltitos (tablet)</t>
  </si>
  <si>
    <t>Parejas</t>
  </si>
  <si>
    <t>Banderas</t>
  </si>
  <si>
    <t>Dibujar</t>
  </si>
  <si>
    <t>Porra</t>
  </si>
  <si>
    <t>Fifa</t>
  </si>
  <si>
    <t>Partido</t>
  </si>
  <si>
    <t>Dobles</t>
  </si>
  <si>
    <t>Nº medallas</t>
  </si>
  <si>
    <t>------------------</t>
  </si>
  <si>
    <t>total de pruebas desde 2009</t>
  </si>
  <si>
    <t>Juego mentiras</t>
  </si>
  <si>
    <t>Fronton equipos</t>
  </si>
  <si>
    <t>Pistas</t>
  </si>
  <si>
    <t>Encestar terraza</t>
  </si>
  <si>
    <t>Trenes</t>
  </si>
  <si>
    <t>Aviones</t>
  </si>
  <si>
    <t>Mentiras</t>
  </si>
  <si>
    <t>Biad taxi</t>
  </si>
  <si>
    <t>Frontón equios</t>
  </si>
  <si>
    <t>Asesino</t>
  </si>
  <si>
    <t>&lt;----------------</t>
  </si>
  <si>
    <t>Pueblo</t>
  </si>
  <si>
    <t>Dominadas</t>
  </si>
  <si>
    <t>Código secreto</t>
  </si>
  <si>
    <t>Saltarin (videojuego)</t>
  </si>
  <si>
    <t>Lanzar pelota tenis</t>
  </si>
  <si>
    <t>Lanzar botella</t>
  </si>
  <si>
    <t>Lanzar dardos</t>
  </si>
  <si>
    <t>Sprint</t>
  </si>
  <si>
    <t>Flexibilidad</t>
  </si>
  <si>
    <t>Pulsos</t>
  </si>
  <si>
    <t>Porra Colombia-ENG</t>
  </si>
  <si>
    <t>Casual videojuego</t>
  </si>
  <si>
    <t>Mentiroso</t>
  </si>
  <si>
    <t>Domino</t>
  </si>
  <si>
    <t>Helix videojuego</t>
  </si>
  <si>
    <t>Herencia de la tía Agata</t>
  </si>
  <si>
    <t>ARMS videojuego</t>
  </si>
  <si>
    <t>gogos</t>
  </si>
  <si>
    <t>frontón</t>
  </si>
  <si>
    <t>Palas</t>
  </si>
  <si>
    <t>Juego de trenes: Viajeros al tren</t>
  </si>
  <si>
    <t>Frontón por equipos</t>
  </si>
  <si>
    <t>Carrera rotando</t>
  </si>
  <si>
    <t>Carrera tenis</t>
  </si>
  <si>
    <t>Baloncesto partido</t>
  </si>
  <si>
    <t>Porra partido</t>
  </si>
  <si>
    <t>Canicas</t>
  </si>
  <si>
    <t>Toques balón fútbol</t>
  </si>
  <si>
    <t>Lanzamiento de cacahuete</t>
  </si>
  <si>
    <t>Pasar frisbee</t>
  </si>
  <si>
    <t>Todos frisbee</t>
  </si>
  <si>
    <t>Todos Frisbee</t>
  </si>
  <si>
    <t>Porra fútbol</t>
  </si>
  <si>
    <t>Lanzar cacahuete</t>
  </si>
  <si>
    <t>con</t>
  </si>
  <si>
    <t>puntos</t>
  </si>
  <si>
    <t>Antonio</t>
  </si>
  <si>
    <t>Annie (USA)</t>
  </si>
  <si>
    <t>Carcassonne</t>
  </si>
  <si>
    <t>Chinchón</t>
  </si>
  <si>
    <t>Go Sushi</t>
  </si>
  <si>
    <t>Puntería hockey</t>
  </si>
  <si>
    <t>El Pueblo</t>
  </si>
  <si>
    <t>Policia cartas</t>
  </si>
  <si>
    <t>Interacciones</t>
  </si>
  <si>
    <t>Bombilla</t>
  </si>
  <si>
    <t>Incognita</t>
  </si>
  <si>
    <t>Resistencia en bici</t>
  </si>
  <si>
    <t>¿Alguien ha probado este juego?</t>
  </si>
  <si>
    <t>Spoilers</t>
  </si>
  <si>
    <t>Impulso</t>
  </si>
  <si>
    <t>Bucear</t>
  </si>
  <si>
    <t>Batalla columnas</t>
  </si>
  <si>
    <t>Carrera piscina</t>
  </si>
  <si>
    <t>Magic (cartas)</t>
  </si>
  <si>
    <t>Voleibol</t>
  </si>
  <si>
    <t>Badminton solo</t>
  </si>
  <si>
    <t>Aviones de papel</t>
  </si>
  <si>
    <t>Lanzamiento pelota</t>
  </si>
  <si>
    <t>Punteria lanzar pelota</t>
  </si>
  <si>
    <t>Lanzamiento beisol</t>
  </si>
  <si>
    <t>Lanzamiento pareja</t>
  </si>
  <si>
    <t>Beisbol</t>
  </si>
  <si>
    <t>Palabras encadenadas</t>
  </si>
  <si>
    <t>Petnca</t>
  </si>
  <si>
    <t>Toques balón</t>
  </si>
  <si>
    <t>Go sushi</t>
  </si>
  <si>
    <t>Kingdomino</t>
  </si>
  <si>
    <t>Mario Kart Switch</t>
  </si>
  <si>
    <t>Epicida</t>
  </si>
  <si>
    <t>Lanzar pelota</t>
  </si>
  <si>
    <t>Medallas perdidas</t>
  </si>
  <si>
    <t>Campeón Sergio</t>
  </si>
  <si>
    <t>Badminton individual</t>
  </si>
  <si>
    <t>Lanzamiento avión</t>
  </si>
  <si>
    <t>Petanca desde balcón</t>
  </si>
  <si>
    <t>Lanzamiento pelota desde balcón</t>
  </si>
  <si>
    <t>Lanzamiento bádminton desde balcón</t>
  </si>
  <si>
    <t>Lanzamiento de peso</t>
  </si>
  <si>
    <t>Hombre lobo</t>
  </si>
  <si>
    <t>Patchworld</t>
  </si>
  <si>
    <t>Padel toques</t>
  </si>
  <si>
    <t>Juego Comunista</t>
  </si>
  <si>
    <t>Alhambra</t>
  </si>
  <si>
    <t>Cementerio (quema)</t>
  </si>
  <si>
    <t>Times yo</t>
  </si>
  <si>
    <t>Just one</t>
  </si>
  <si>
    <t>Salendor</t>
  </si>
  <si>
    <t>Azulejos</t>
  </si>
  <si>
    <t>Encestar Badminton</t>
  </si>
  <si>
    <t>Ping-pong</t>
  </si>
  <si>
    <t>Batalla por Rokugan</t>
  </si>
  <si>
    <t>Scise</t>
  </si>
  <si>
    <t>Mario Kart torneo</t>
  </si>
  <si>
    <t>MEDALLERO</t>
  </si>
  <si>
    <t>Camila</t>
  </si>
  <si>
    <t>Futbol</t>
  </si>
  <si>
    <t>Juego que se invento David en Baloncesto</t>
  </si>
  <si>
    <t>Beat Sable</t>
  </si>
  <si>
    <t>Party</t>
  </si>
  <si>
    <t>Fronton</t>
  </si>
  <si>
    <t>Szyte???</t>
  </si>
  <si>
    <t>Carreta Bicis</t>
  </si>
  <si>
    <t>V</t>
  </si>
  <si>
    <t>Sprin</t>
  </si>
  <si>
    <t>Colonos de Catán</t>
  </si>
  <si>
    <t>Colonos</t>
  </si>
  <si>
    <t>Clash Royal</t>
  </si>
  <si>
    <t>Alguien a jugado a este juego</t>
  </si>
  <si>
    <t>Muncka???</t>
  </si>
  <si>
    <t>ice Hockey</t>
  </si>
  <si>
    <t>Elastico Tenis</t>
  </si>
  <si>
    <t>Toques Balon</t>
  </si>
  <si>
    <t>Jincana</t>
  </si>
  <si>
    <t>Lanzar baloncesto desde la barandilla</t>
  </si>
  <si>
    <t>Kingdomio</t>
  </si>
  <si>
    <t>Carrera Bici</t>
  </si>
  <si>
    <t>Carrera mas lenta en Bici</t>
  </si>
  <si>
    <t>Carrar mas lenta en Bici</t>
  </si>
  <si>
    <t>Distacia patada con un solo pedal</t>
  </si>
  <si>
    <t>Lanzar aviones papel</t>
  </si>
  <si>
    <t>Lanzar pelota lejos</t>
  </si>
  <si>
    <t>Encestar tennis</t>
  </si>
  <si>
    <t>Palos Playa</t>
  </si>
  <si>
    <t>La quema</t>
  </si>
  <si>
    <t>Globos Agua</t>
  </si>
  <si>
    <t>Glovos Agua</t>
  </si>
  <si>
    <t>Codigo Secreto</t>
  </si>
  <si>
    <t>Exploting Cats</t>
  </si>
  <si>
    <t>Volley sentado</t>
  </si>
  <si>
    <t>Escondite Bici Pueblo</t>
  </si>
  <si>
    <t>Colonos Catán</t>
  </si>
  <si>
    <t>Colonos Catan</t>
  </si>
  <si>
    <t>Acertar Kilometros</t>
  </si>
  <si>
    <t>Mentir Oso</t>
  </si>
  <si>
    <t>Dominion</t>
  </si>
  <si>
    <t>Sangre</t>
  </si>
  <si>
    <t>Mojar</t>
  </si>
  <si>
    <t>Lucía</t>
  </si>
  <si>
    <t>Volleybal</t>
  </si>
  <si>
    <t>frisbee</t>
  </si>
  <si>
    <t>comunismo</t>
  </si>
  <si>
    <t>Gatos explosivos</t>
  </si>
  <si>
    <t>Baloncrof</t>
  </si>
  <si>
    <t>Baseball</t>
  </si>
  <si>
    <t>El pueblo duerme</t>
  </si>
  <si>
    <t>Exploting cats</t>
  </si>
  <si>
    <t>Juego virus</t>
  </si>
  <si>
    <t>Smart 10</t>
  </si>
  <si>
    <t>Exploding cats</t>
  </si>
  <si>
    <t>Mario kart</t>
  </si>
  <si>
    <t>Szitche</t>
  </si>
  <si>
    <t>Lanzamiento cacahuete</t>
  </si>
  <si>
    <t>República bananera</t>
  </si>
  <si>
    <t>Burrito</t>
  </si>
  <si>
    <t>Pasar la pelota blanda</t>
  </si>
  <si>
    <t>Concurso de pinchos</t>
  </si>
  <si>
    <t>nerf</t>
  </si>
  <si>
    <t>Secret Hitler</t>
  </si>
  <si>
    <t>Burritos</t>
  </si>
  <si>
    <t>Lanzar aviones</t>
  </si>
  <si>
    <t>Quizz boda</t>
  </si>
  <si>
    <t>WTF</t>
  </si>
  <si>
    <t>Exploding kittens</t>
  </si>
  <si>
    <t>Virus</t>
  </si>
  <si>
    <t>Aviones checos</t>
  </si>
  <si>
    <t>Ruleta de la fortuna</t>
  </si>
  <si>
    <t>Daypo adulto</t>
  </si>
  <si>
    <t>Carlos, Laura, Jorge, Sergio, Sara, Dario, Nuria</t>
  </si>
  <si>
    <t>Reinos de papel</t>
  </si>
  <si>
    <t>Football</t>
  </si>
  <si>
    <t>Voleyball</t>
  </si>
  <si>
    <t>Voleyball 2vs2</t>
  </si>
  <si>
    <t>Bádminton individual</t>
  </si>
  <si>
    <t>Chess war</t>
  </si>
  <si>
    <t>Pin pon</t>
  </si>
  <si>
    <t>Gatitos explosivos</t>
  </si>
  <si>
    <t>Pañuelo de 3</t>
  </si>
  <si>
    <t>Frontón parejas</t>
  </si>
  <si>
    <t>Call of duty</t>
  </si>
  <si>
    <t>Tocar canasta</t>
  </si>
  <si>
    <t>Scythe</t>
  </si>
  <si>
    <t>Mímica</t>
  </si>
  <si>
    <t>Carrera de bicis</t>
  </si>
  <si>
    <t>Lanzamiento de Frisbee</t>
  </si>
  <si>
    <t>Frisbee futbol americano</t>
  </si>
  <si>
    <t>Frisbee volleyball</t>
  </si>
  <si>
    <t>Frisbee burro circulo</t>
  </si>
  <si>
    <t>Saltar aro</t>
  </si>
  <si>
    <t>Chess ward</t>
  </si>
  <si>
    <t>Boomerang</t>
  </si>
  <si>
    <t>Pinturillo</t>
  </si>
  <si>
    <t>Barrio</t>
  </si>
  <si>
    <t>Décadas</t>
  </si>
  <si>
    <t>El secreto de Hitler</t>
  </si>
  <si>
    <t>Juego toques dardos</t>
  </si>
  <si>
    <t>Azul</t>
  </si>
  <si>
    <t>Menos 1 reglas oficiales</t>
  </si>
  <si>
    <t>Baloncesto rey de la pista</t>
  </si>
  <si>
    <t>(+1) en 2024</t>
  </si>
  <si>
    <t>Pañuelo 2</t>
  </si>
  <si>
    <t>República Bananera</t>
  </si>
  <si>
    <t>X</t>
  </si>
  <si>
    <t>Burro sin movimiento</t>
  </si>
  <si>
    <t>-1 oficial</t>
  </si>
  <si>
    <t>Volley dos toques</t>
  </si>
  <si>
    <t>Volley tres toques</t>
  </si>
  <si>
    <t>Polilla tramposa</t>
  </si>
  <si>
    <t>Mindbug</t>
  </si>
  <si>
    <t>Burritos locos</t>
  </si>
  <si>
    <t>Bingo boda Laura</t>
  </si>
  <si>
    <t>Encontrar anillo</t>
  </si>
  <si>
    <t>Badminton parejas</t>
  </si>
  <si>
    <t>Among us</t>
  </si>
  <si>
    <t>Cortador de madera con hacha (diferente veta)</t>
  </si>
  <si>
    <t>Cortador de madera con hacha (misma veta)</t>
  </si>
  <si>
    <t>Burro movimiento</t>
  </si>
  <si>
    <t>Rugbyfrisbee</t>
  </si>
  <si>
    <t>Volleyfrisbee</t>
  </si>
  <si>
    <t>Trío</t>
  </si>
  <si>
    <t>Lanzamiento de bola con lanzador</t>
  </si>
  <si>
    <t>Frisbee más lejos pareja</t>
  </si>
  <si>
    <t>Frisbee arriesgado pareja</t>
  </si>
  <si>
    <t>Agrícola</t>
  </si>
  <si>
    <t>Pases fresbee</t>
  </si>
  <si>
    <t>Little secret</t>
  </si>
  <si>
    <t>Volley trio</t>
  </si>
  <si>
    <t>Volley parejas</t>
  </si>
  <si>
    <t>Burro fresbee</t>
  </si>
  <si>
    <t>Volleyball 4 personas</t>
  </si>
  <si>
    <t>Volley 3 vs 4</t>
  </si>
  <si>
    <t>Volley 3 vs 3</t>
  </si>
  <si>
    <t>Trio</t>
  </si>
  <si>
    <t>-1oficial</t>
  </si>
  <si>
    <t>(+1) en 2025</t>
  </si>
  <si>
    <t>CATAN</t>
  </si>
  <si>
    <t>PUNTUACIONES TOTALES SOLAMENTE DEL CATÁN</t>
  </si>
  <si>
    <t>Total</t>
  </si>
  <si>
    <t>Otros (Annie...)</t>
  </si>
  <si>
    <t>Puntos totales</t>
  </si>
  <si>
    <t>Total de pruebas</t>
  </si>
  <si>
    <t xml:space="preserve">Actualizado a </t>
  </si>
  <si>
    <t>Total medallas</t>
  </si>
  <si>
    <t>Desde 2016</t>
  </si>
  <si>
    <t>Desde 2019</t>
  </si>
  <si>
    <t>Desde 2022</t>
  </si>
  <si>
    <t>Desde 2023</t>
  </si>
  <si>
    <t xml:space="preserve">Total puntos por país </t>
  </si>
  <si>
    <t>victorias anuales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</si>
</sst>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Calibri"/>
    </font>
    <font>
      <sz val="10.0"/>
      <color rgb="FF000000"/>
      <name val="Arial"/>
    </font>
    <font>
      <sz val="10.0"/>
      <color rgb="FFFF00FF"/>
      <name val="Arial"/>
    </font>
    <font>
      <sz val="11.0"/>
      <color theme="1"/>
      <name val="Calibri"/>
    </font>
    <font>
      <b/>
      <sz val="10.0"/>
      <color theme="1"/>
      <name val="Arial"/>
    </font>
    <font>
      <b/>
      <sz val="10.0"/>
      <color rgb="FF000000"/>
      <name val="Arial"/>
    </font>
    <font>
      <b/>
      <sz val="10.0"/>
      <color theme="1"/>
      <name val="Calibri"/>
    </font>
    <font>
      <color theme="1"/>
      <name val="Arial"/>
      <scheme val="minor"/>
    </font>
    <font/>
    <font>
      <b/>
      <sz val="12.0"/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7605"/>
        <bgColor rgb="FFFF7605"/>
      </patternFill>
    </fill>
    <fill>
      <patternFill patternType="solid">
        <fgColor rgb="FFFFFF99"/>
        <bgColor rgb="FFFFFF99"/>
      </patternFill>
    </fill>
    <fill>
      <patternFill patternType="solid">
        <fgColor rgb="FF99FFFF"/>
        <bgColor rgb="FF99FFFF"/>
      </patternFill>
    </fill>
    <fill>
      <patternFill patternType="solid">
        <fgColor rgb="FFFF3B3B"/>
        <bgColor rgb="FFFF3B3B"/>
      </patternFill>
    </fill>
    <fill>
      <patternFill patternType="solid">
        <fgColor rgb="FFFF6600"/>
        <bgColor rgb="FFFF66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A5A5A5"/>
        <bgColor rgb="FFA5A5A5"/>
      </patternFill>
    </fill>
    <fill>
      <patternFill patternType="solid">
        <fgColor rgb="FF00B0F0"/>
        <bgColor rgb="FF00B0F0"/>
      </patternFill>
    </fill>
    <fill>
      <patternFill patternType="solid">
        <fgColor rgb="FFFF3300"/>
        <bgColor rgb="FFFF3300"/>
      </patternFill>
    </fill>
    <fill>
      <patternFill patternType="solid">
        <fgColor rgb="FFDDDDDD"/>
        <bgColor rgb="FFDDDDDD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FFCC99"/>
        <bgColor rgb="FFFFCC9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00000"/>
        <bgColor rgb="FFC00000"/>
      </patternFill>
    </fill>
  </fills>
  <borders count="19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1" numFmtId="0" xfId="0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1" fillId="9" fontId="1" numFmtId="0" xfId="0" applyBorder="1" applyFill="1" applyFont="1"/>
    <xf borderId="0" fillId="0" fontId="1" numFmtId="2" xfId="0" applyFont="1" applyNumberFormat="1"/>
    <xf borderId="0" fillId="0" fontId="1" numFmtId="1" xfId="0" applyFont="1" applyNumberFormat="1"/>
    <xf borderId="1" fillId="10" fontId="1" numFmtId="0" xfId="0" applyBorder="1" applyFill="1" applyFont="1"/>
    <xf borderId="1" fillId="11" fontId="1" numFmtId="0" xfId="0" applyBorder="1" applyFill="1" applyFont="1"/>
    <xf borderId="1" fillId="12" fontId="1" numFmtId="0" xfId="0" applyBorder="1" applyFill="1" applyFont="1"/>
    <xf borderId="0" fillId="0" fontId="3" numFmtId="0" xfId="0" applyFont="1"/>
    <xf borderId="1" fillId="13" fontId="1" numFmtId="0" xfId="0" applyBorder="1" applyFill="1" applyFont="1"/>
    <xf borderId="0" fillId="0" fontId="4" numFmtId="0" xfId="0" applyFont="1"/>
    <xf borderId="1" fillId="4" fontId="3" numFmtId="0" xfId="0" applyBorder="1" applyFont="1"/>
    <xf borderId="1" fillId="14" fontId="1" numFmtId="0" xfId="0" applyBorder="1" applyFill="1" applyFont="1"/>
    <xf borderId="1" fillId="15" fontId="1" numFmtId="0" xfId="0" applyBorder="1" applyFill="1" applyFont="1"/>
    <xf borderId="1" fillId="15" fontId="1" numFmtId="1" xfId="0" applyBorder="1" applyFont="1" applyNumberFormat="1"/>
    <xf borderId="1" fillId="16" fontId="1" numFmtId="0" xfId="0" applyBorder="1" applyFill="1" applyFont="1"/>
    <xf borderId="1" fillId="17" fontId="1" numFmtId="0" xfId="0" applyBorder="1" applyFill="1" applyFont="1"/>
    <xf borderId="2" fillId="4" fontId="1" numFmtId="0" xfId="0" applyBorder="1" applyFont="1"/>
    <xf borderId="3" fillId="4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Border="1" applyFont="1"/>
    <xf borderId="1" fillId="18" fontId="1" numFmtId="0" xfId="0" applyBorder="1" applyFill="1" applyFont="1"/>
    <xf borderId="1" fillId="17" fontId="1" numFmtId="0" xfId="0" applyAlignment="1" applyBorder="1" applyFont="1">
      <alignment horizontal="center"/>
    </xf>
    <xf borderId="1" fillId="18" fontId="1" numFmtId="0" xfId="0" applyAlignment="1" applyBorder="1" applyFont="1">
      <alignment horizontal="center"/>
    </xf>
    <xf borderId="1" fillId="19" fontId="1" numFmtId="0" xfId="0" applyAlignment="1" applyBorder="1" applyFill="1" applyFont="1">
      <alignment horizontal="center"/>
    </xf>
    <xf borderId="6" fillId="17" fontId="1" numFmtId="0" xfId="0" applyBorder="1" applyFont="1"/>
    <xf borderId="0" fillId="0" fontId="5" numFmtId="0" xfId="0" applyFont="1"/>
    <xf borderId="0" fillId="0" fontId="5" numFmtId="0" xfId="0" applyAlignment="1" applyFont="1">
      <alignment horizontal="center"/>
    </xf>
    <xf borderId="7" fillId="0" fontId="5" numFmtId="0" xfId="0" applyBorder="1" applyFont="1"/>
    <xf borderId="1" fillId="20" fontId="5" numFmtId="0" xfId="0" applyBorder="1" applyFill="1" applyFont="1"/>
    <xf borderId="7" fillId="0" fontId="2" numFmtId="0" xfId="0" applyBorder="1" applyFont="1"/>
    <xf borderId="6" fillId="3" fontId="1" numFmtId="0" xfId="0" applyBorder="1" applyFont="1"/>
    <xf borderId="6" fillId="14" fontId="1" numFmtId="0" xfId="0" applyBorder="1" applyFont="1"/>
    <xf borderId="8" fillId="17" fontId="6" numFmtId="0" xfId="0" applyBorder="1" applyFont="1"/>
    <xf borderId="9" fillId="0" fontId="6" numFmtId="0" xfId="0" applyBorder="1" applyFont="1"/>
    <xf borderId="9" fillId="0" fontId="7" numFmtId="0" xfId="0" applyBorder="1" applyFont="1"/>
    <xf borderId="9" fillId="0" fontId="8" numFmtId="0" xfId="0" applyBorder="1" applyFont="1"/>
    <xf borderId="10" fillId="17" fontId="6" numFmtId="0" xfId="0" applyBorder="1" applyFont="1"/>
    <xf borderId="0" fillId="0" fontId="8" numFmtId="0" xfId="0" applyFont="1"/>
    <xf borderId="1" fillId="8" fontId="2" numFmtId="0" xfId="0" applyBorder="1" applyFont="1"/>
    <xf borderId="0" fillId="0" fontId="2" numFmtId="164" xfId="0" applyFont="1" applyNumberFormat="1"/>
    <xf borderId="1" fillId="17" fontId="1" numFmtId="0" xfId="0" applyAlignment="1" applyBorder="1" applyFont="1">
      <alignment readingOrder="0"/>
    </xf>
    <xf borderId="6" fillId="17" fontId="1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21" fontId="2" numFmtId="0" xfId="0" applyBorder="1" applyFill="1" applyFont="1"/>
    <xf borderId="1" fillId="22" fontId="2" numFmtId="0" xfId="0" applyBorder="1" applyFill="1" applyFont="1"/>
    <xf borderId="1" fillId="21" fontId="5" numFmtId="0" xfId="0" applyBorder="1" applyFont="1"/>
    <xf borderId="1" fillId="22" fontId="1" numFmtId="0" xfId="0" applyBorder="1" applyFont="1"/>
    <xf borderId="11" fillId="8" fontId="6" numFmtId="0" xfId="0" applyAlignment="1" applyBorder="1" applyFont="1">
      <alignment horizontal="center"/>
    </xf>
    <xf borderId="12" fillId="0" fontId="10" numFmtId="0" xfId="0" applyBorder="1" applyFont="1"/>
    <xf borderId="1" fillId="16" fontId="6" numFmtId="0" xfId="0" applyBorder="1" applyFont="1"/>
    <xf borderId="0" fillId="0" fontId="6" numFmtId="0" xfId="0" applyFont="1"/>
    <xf borderId="0" fillId="0" fontId="7" numFmtId="0" xfId="0" applyFont="1"/>
    <xf borderId="1" fillId="17" fontId="6" numFmtId="0" xfId="0" applyBorder="1" applyFont="1"/>
    <xf borderId="1" fillId="23" fontId="1" numFmtId="0" xfId="0" applyBorder="1" applyFill="1" applyFont="1"/>
    <xf borderId="1" fillId="24" fontId="1" numFmtId="0" xfId="0" applyBorder="1" applyFill="1" applyFont="1"/>
    <xf borderId="13" fillId="0" fontId="11" numFmtId="0" xfId="0" applyAlignment="1" applyBorder="1" applyFont="1">
      <alignment horizontal="center"/>
    </xf>
    <xf borderId="14" fillId="0" fontId="10" numFmtId="0" xfId="0" applyBorder="1" applyFont="1"/>
    <xf borderId="15" fillId="0" fontId="10" numFmtId="0" xfId="0" applyBorder="1" applyFont="1"/>
    <xf borderId="0" fillId="0" fontId="11" numFmtId="0" xfId="0" applyFont="1"/>
    <xf borderId="16" fillId="0" fontId="2" numFmtId="0" xfId="0" applyBorder="1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left"/>
    </xf>
    <xf borderId="17" fillId="0" fontId="2" numFmtId="0" xfId="0" applyBorder="1" applyFont="1"/>
    <xf borderId="9" fillId="0" fontId="2" numFmtId="0" xfId="0" applyBorder="1" applyFont="1"/>
    <xf borderId="18" fillId="0" fontId="2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CCCCFF"/>
          <bgColor rgb="FFCCCCFF"/>
        </patternFill>
      </fill>
      <border/>
    </dxf>
    <dxf>
      <font/>
      <fill>
        <patternFill patternType="solid">
          <fgColor rgb="FFFFFF99"/>
          <bgColor rgb="FFFFFF99"/>
        </patternFill>
      </fill>
      <border/>
    </dxf>
    <dxf>
      <font/>
      <fill>
        <patternFill patternType="solid">
          <fgColor rgb="FFFFCC99"/>
          <bgColor rgb="FFFFCC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270603674540683"/>
          <c:y val="0.17634259259259263"/>
          <c:w val="0.8839606299212598"/>
          <c:h val="0.6384248323126276"/>
        </c:manualLayout>
      </c:layout>
      <c:barChart>
        <c:barDir val="col"/>
        <c:ser>
          <c:idx val="0"/>
          <c:order val="0"/>
          <c:tx>
            <c:v>Promedio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cat>
            <c:strRef>
              <c:f>'2016'!$B$1:$R$1</c:f>
            </c:strRef>
          </c:cat>
          <c:val>
            <c:numRef>
              <c:f>'2016'!$B$107:$R$107</c:f>
              <c:numCache/>
            </c:numRef>
          </c:val>
        </c:ser>
        <c:axId val="1501127353"/>
        <c:axId val="771138262"/>
      </c:barChart>
      <c:catAx>
        <c:axId val="1501127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 i="0" sz="900">
                <a:solidFill>
                  <a:srgbClr val="333333"/>
                </a:solidFill>
                <a:latin typeface="Calibri"/>
              </a:defRPr>
            </a:pPr>
          </a:p>
        </c:txPr>
        <c:crossAx val="771138262"/>
      </c:catAx>
      <c:valAx>
        <c:axId val="7711382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900">
                <a:solidFill>
                  <a:srgbClr val="333333"/>
                </a:solidFill>
                <a:latin typeface="Calibri"/>
              </a:defRPr>
            </a:pPr>
          </a:p>
        </c:txPr>
        <c:crossAx val="1501127353"/>
      </c:valAx>
    </c:plotArea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jpg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127</xdr:row>
      <xdr:rowOff>142875</xdr:rowOff>
    </xdr:from>
    <xdr:ext cx="4572000" cy="2743200"/>
    <xdr:graphicFrame>
      <xdr:nvGraphicFramePr>
        <xdr:cNvPr id="81994914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18</xdr:row>
      <xdr:rowOff>0</xdr:rowOff>
    </xdr:from>
    <xdr:ext cx="238125" cy="1619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19</xdr:row>
      <xdr:rowOff>0</xdr:rowOff>
    </xdr:from>
    <xdr:ext cx="238125" cy="1619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238125" cy="1619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21</xdr:row>
      <xdr:rowOff>0</xdr:rowOff>
    </xdr:from>
    <xdr:ext cx="304800" cy="161925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26" width="10.75"/>
  </cols>
  <sheetData>
    <row r="1" ht="12.75" customHeight="1">
      <c r="A1" s="1">
        <v>2009.0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ht="12.75" customHeight="1">
      <c r="A2" s="2" t="s">
        <v>14</v>
      </c>
      <c r="B2" s="3" t="s">
        <v>15</v>
      </c>
      <c r="C2" s="3"/>
      <c r="D2" s="3"/>
      <c r="E2" s="3" t="s">
        <v>16</v>
      </c>
      <c r="F2" s="3" t="s">
        <v>15</v>
      </c>
      <c r="G2" s="3"/>
      <c r="H2" s="3"/>
      <c r="I2" s="3"/>
      <c r="J2" s="3"/>
      <c r="K2" s="3"/>
      <c r="L2" s="3"/>
      <c r="M2" s="3"/>
      <c r="N2" s="3"/>
      <c r="O2" s="3"/>
    </row>
    <row r="3" ht="12.75" customHeight="1">
      <c r="A3" s="2">
        <v>-1.0</v>
      </c>
      <c r="B3" s="3" t="s">
        <v>16</v>
      </c>
      <c r="C3" s="3" t="s">
        <v>17</v>
      </c>
      <c r="D3" s="3"/>
      <c r="E3" s="3" t="s">
        <v>15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ht="12.75" customHeight="1">
      <c r="A4" s="2" t="s">
        <v>18</v>
      </c>
      <c r="B4" s="3" t="s">
        <v>16</v>
      </c>
      <c r="C4" s="3" t="s">
        <v>15</v>
      </c>
      <c r="D4" s="3"/>
      <c r="E4" s="3" t="s">
        <v>16</v>
      </c>
      <c r="F4" s="3" t="s">
        <v>15</v>
      </c>
      <c r="G4" s="3" t="s">
        <v>16</v>
      </c>
      <c r="H4" s="3"/>
      <c r="I4" s="3"/>
      <c r="J4" s="3"/>
      <c r="K4" s="3"/>
      <c r="L4" s="3"/>
      <c r="M4" s="3"/>
      <c r="N4" s="3"/>
      <c r="O4" s="3"/>
    </row>
    <row r="5" ht="12.75" customHeight="1">
      <c r="A5" s="2" t="s">
        <v>19</v>
      </c>
      <c r="B5" s="3"/>
      <c r="C5" s="3" t="s">
        <v>17</v>
      </c>
      <c r="D5" s="3"/>
      <c r="E5" s="3" t="s">
        <v>15</v>
      </c>
      <c r="F5" s="3" t="s">
        <v>16</v>
      </c>
      <c r="G5" s="3"/>
      <c r="H5" s="3"/>
      <c r="I5" s="3"/>
      <c r="J5" s="3"/>
      <c r="K5" s="3"/>
      <c r="L5" s="3"/>
      <c r="M5" s="3"/>
      <c r="N5" s="3"/>
      <c r="O5" s="3"/>
    </row>
    <row r="6" ht="12.75" customHeight="1">
      <c r="A6" s="2" t="s">
        <v>20</v>
      </c>
      <c r="B6" s="3" t="s">
        <v>15</v>
      </c>
      <c r="C6" s="3"/>
      <c r="D6" s="3"/>
      <c r="E6" s="3"/>
      <c r="F6" s="3" t="s">
        <v>15</v>
      </c>
      <c r="G6" s="3" t="s">
        <v>17</v>
      </c>
      <c r="H6" s="3"/>
      <c r="I6" s="3"/>
      <c r="J6" s="3"/>
      <c r="K6" s="3"/>
      <c r="L6" s="3" t="s">
        <v>16</v>
      </c>
      <c r="M6" s="3"/>
      <c r="N6" s="3"/>
      <c r="O6" s="3"/>
    </row>
    <row r="7" ht="12.75" customHeight="1">
      <c r="A7" s="2" t="s">
        <v>21</v>
      </c>
      <c r="B7" s="3" t="s">
        <v>16</v>
      </c>
      <c r="C7" s="3" t="s">
        <v>15</v>
      </c>
      <c r="D7" s="3" t="s">
        <v>16</v>
      </c>
      <c r="E7" s="3" t="s">
        <v>15</v>
      </c>
      <c r="F7" s="3" t="s">
        <v>16</v>
      </c>
      <c r="G7" s="3"/>
      <c r="H7" s="3"/>
      <c r="I7" s="3" t="s">
        <v>15</v>
      </c>
      <c r="J7" s="3"/>
      <c r="K7" s="3"/>
      <c r="L7" s="3"/>
      <c r="M7" s="3"/>
      <c r="N7" s="3"/>
      <c r="O7" s="3"/>
    </row>
    <row r="8" ht="12.75" customHeight="1">
      <c r="A8" s="2" t="s">
        <v>22</v>
      </c>
      <c r="B8" s="3" t="s">
        <v>17</v>
      </c>
      <c r="C8" s="3"/>
      <c r="D8" s="3" t="s">
        <v>15</v>
      </c>
      <c r="E8" s="3"/>
      <c r="F8" s="3"/>
      <c r="G8" s="3" t="s">
        <v>16</v>
      </c>
      <c r="H8" s="3"/>
      <c r="I8" s="3"/>
      <c r="J8" s="3"/>
      <c r="K8" s="3"/>
      <c r="L8" s="3"/>
      <c r="M8" s="3"/>
      <c r="N8" s="3"/>
      <c r="O8" s="3"/>
    </row>
    <row r="9" ht="12.75" customHeight="1">
      <c r="A9" s="2" t="s">
        <v>23</v>
      </c>
      <c r="B9" s="3" t="s">
        <v>16</v>
      </c>
      <c r="C9" s="3" t="s">
        <v>15</v>
      </c>
      <c r="D9" s="3"/>
      <c r="E9" s="3" t="s">
        <v>17</v>
      </c>
      <c r="F9" s="3"/>
      <c r="G9" s="3"/>
      <c r="H9" s="3"/>
      <c r="I9" s="3"/>
      <c r="J9" s="3"/>
      <c r="K9" s="3"/>
      <c r="L9" s="3"/>
      <c r="M9" s="3"/>
      <c r="N9" s="3"/>
      <c r="O9" s="3"/>
    </row>
    <row r="10" ht="12.75" customHeight="1">
      <c r="A10" s="2" t="s">
        <v>24</v>
      </c>
      <c r="B10" s="3" t="s">
        <v>15</v>
      </c>
      <c r="C10" s="3" t="s">
        <v>16</v>
      </c>
      <c r="D10" s="3"/>
      <c r="E10" s="3"/>
      <c r="F10" s="3"/>
      <c r="G10" s="3" t="s">
        <v>17</v>
      </c>
      <c r="H10" s="3"/>
      <c r="I10" s="3"/>
      <c r="J10" s="3"/>
      <c r="K10" s="3"/>
      <c r="L10" s="3"/>
      <c r="M10" s="3"/>
      <c r="N10" s="3"/>
      <c r="O10" s="3"/>
    </row>
    <row r="11" ht="12.75" customHeight="1">
      <c r="A11" s="2" t="s">
        <v>25</v>
      </c>
      <c r="B11" s="3"/>
      <c r="C11" s="3"/>
      <c r="D11" s="3"/>
      <c r="E11" s="3" t="s">
        <v>15</v>
      </c>
      <c r="F11" s="3" t="s">
        <v>16</v>
      </c>
      <c r="G11" s="3"/>
      <c r="H11" s="3" t="s">
        <v>17</v>
      </c>
      <c r="I11" s="3"/>
      <c r="J11" s="3"/>
      <c r="K11" s="3"/>
      <c r="L11" s="3"/>
      <c r="M11" s="3"/>
      <c r="N11" s="3"/>
      <c r="O11" s="3"/>
    </row>
    <row r="12" ht="12.75" customHeight="1">
      <c r="A12" s="2" t="s">
        <v>26</v>
      </c>
      <c r="B12" s="3"/>
      <c r="C12" s="3"/>
      <c r="D12" s="3"/>
      <c r="E12" s="3" t="s">
        <v>17</v>
      </c>
      <c r="F12" s="3" t="s">
        <v>16</v>
      </c>
      <c r="G12" s="3"/>
      <c r="H12" s="3"/>
      <c r="I12" s="3" t="s">
        <v>17</v>
      </c>
      <c r="J12" s="3"/>
      <c r="K12" s="3"/>
      <c r="L12" s="3"/>
      <c r="M12" s="3"/>
      <c r="N12" s="3"/>
      <c r="O12" s="3"/>
    </row>
    <row r="13" ht="12.75" customHeight="1">
      <c r="A13" s="2" t="s">
        <v>27</v>
      </c>
      <c r="B13" s="3"/>
      <c r="C13" s="3" t="s">
        <v>17</v>
      </c>
      <c r="D13" s="3" t="s">
        <v>15</v>
      </c>
      <c r="E13" s="3" t="s">
        <v>17</v>
      </c>
      <c r="F13" s="3" t="s">
        <v>16</v>
      </c>
      <c r="G13" s="3"/>
      <c r="H13" s="3" t="s">
        <v>15</v>
      </c>
      <c r="I13" s="3"/>
      <c r="J13" s="3"/>
      <c r="K13" s="3"/>
      <c r="L13" s="3"/>
      <c r="M13" s="3"/>
      <c r="N13" s="3"/>
      <c r="O13" s="3"/>
    </row>
    <row r="14" ht="12.75" customHeight="1">
      <c r="A14" s="2" t="s">
        <v>28</v>
      </c>
      <c r="B14" s="3" t="s">
        <v>16</v>
      </c>
      <c r="C14" s="3" t="s">
        <v>16</v>
      </c>
      <c r="D14" s="3"/>
      <c r="E14" s="3" t="s">
        <v>15</v>
      </c>
      <c r="F14" s="3" t="s">
        <v>17</v>
      </c>
      <c r="G14" s="3"/>
      <c r="H14" s="3"/>
      <c r="I14" s="3"/>
      <c r="J14" s="3"/>
      <c r="K14" s="3"/>
      <c r="L14" s="3"/>
      <c r="M14" s="3"/>
      <c r="N14" s="3"/>
      <c r="O14" s="3"/>
    </row>
    <row r="15" ht="12.75" customHeight="1">
      <c r="A15" s="2" t="s">
        <v>28</v>
      </c>
      <c r="B15" s="3" t="s">
        <v>16</v>
      </c>
      <c r="C15" s="3" t="s">
        <v>15</v>
      </c>
      <c r="D15" s="3"/>
      <c r="E15" s="3" t="s">
        <v>15</v>
      </c>
      <c r="F15" s="3" t="s">
        <v>17</v>
      </c>
      <c r="G15" s="3"/>
      <c r="H15" s="3"/>
      <c r="I15" s="3"/>
      <c r="J15" s="3"/>
      <c r="K15" s="3"/>
      <c r="L15" s="3"/>
      <c r="M15" s="3"/>
      <c r="N15" s="3"/>
      <c r="O15" s="3"/>
    </row>
    <row r="16" ht="12.75" customHeight="1">
      <c r="A16" s="2" t="s">
        <v>28</v>
      </c>
      <c r="B16" s="3" t="s">
        <v>16</v>
      </c>
      <c r="C16" s="3" t="s">
        <v>15</v>
      </c>
      <c r="D16" s="3"/>
      <c r="E16" s="3" t="s">
        <v>17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2.75" customHeight="1">
      <c r="A17" s="2" t="s">
        <v>28</v>
      </c>
      <c r="B17" s="3" t="s">
        <v>16</v>
      </c>
      <c r="C17" s="3" t="s">
        <v>17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2.75" customHeight="1">
      <c r="A18" s="2" t="s">
        <v>29</v>
      </c>
      <c r="B18" s="3" t="s">
        <v>16</v>
      </c>
      <c r="C18" s="3" t="s">
        <v>15</v>
      </c>
      <c r="D18" s="3" t="s">
        <v>15</v>
      </c>
      <c r="E18" s="3" t="s">
        <v>17</v>
      </c>
      <c r="F18" s="3" t="s">
        <v>16</v>
      </c>
      <c r="G18" s="3" t="s">
        <v>16</v>
      </c>
      <c r="H18" s="3"/>
      <c r="I18" s="3"/>
      <c r="J18" s="3"/>
      <c r="K18" s="3"/>
      <c r="L18" s="3"/>
      <c r="M18" s="3"/>
      <c r="N18" s="3"/>
      <c r="O18" s="3"/>
    </row>
    <row r="19" ht="12.75" customHeight="1">
      <c r="A19" s="2" t="s">
        <v>30</v>
      </c>
      <c r="B19" s="3" t="s">
        <v>15</v>
      </c>
      <c r="C19" s="3" t="s">
        <v>16</v>
      </c>
      <c r="D19" s="3"/>
      <c r="E19" s="3"/>
      <c r="F19" s="3" t="s">
        <v>15</v>
      </c>
      <c r="G19" s="3" t="s">
        <v>17</v>
      </c>
      <c r="H19" s="3"/>
      <c r="I19" s="3"/>
      <c r="J19" s="3"/>
      <c r="K19" s="3"/>
      <c r="L19" s="3"/>
      <c r="M19" s="3"/>
      <c r="N19" s="3"/>
      <c r="O19" s="3"/>
    </row>
    <row r="20" ht="12.75" customHeight="1">
      <c r="A20" s="2" t="s">
        <v>31</v>
      </c>
      <c r="B20" s="3" t="s">
        <v>16</v>
      </c>
      <c r="C20" s="3"/>
      <c r="D20" s="3" t="s">
        <v>15</v>
      </c>
      <c r="E20" s="3"/>
      <c r="F20" s="3" t="s">
        <v>17</v>
      </c>
      <c r="G20" s="3"/>
      <c r="H20" s="3"/>
      <c r="I20" s="3"/>
      <c r="J20" s="3"/>
      <c r="K20" s="3"/>
      <c r="L20" s="3"/>
      <c r="M20" s="3"/>
      <c r="N20" s="3"/>
      <c r="O20" s="3"/>
    </row>
    <row r="21" ht="12.75" customHeight="1">
      <c r="A21" s="2" t="s">
        <v>31</v>
      </c>
      <c r="B21" s="3" t="s">
        <v>15</v>
      </c>
      <c r="C21" s="3" t="s">
        <v>16</v>
      </c>
      <c r="D21" s="3"/>
      <c r="E21" s="3" t="s">
        <v>17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2.75" customHeight="1">
      <c r="A22" s="2" t="s">
        <v>27</v>
      </c>
      <c r="B22" s="3" t="s">
        <v>16</v>
      </c>
      <c r="C22" s="3"/>
      <c r="D22" s="3"/>
      <c r="E22" s="3"/>
      <c r="F22" s="3" t="s">
        <v>17</v>
      </c>
      <c r="G22" s="3"/>
      <c r="H22" s="3" t="s">
        <v>15</v>
      </c>
      <c r="I22" s="3"/>
      <c r="J22" s="3" t="s">
        <v>16</v>
      </c>
      <c r="K22" s="3"/>
      <c r="L22" s="3"/>
      <c r="M22" s="3"/>
      <c r="N22" s="3"/>
      <c r="O22" s="3"/>
    </row>
    <row r="23" ht="12.75" customHeight="1">
      <c r="A23" s="2" t="s">
        <v>32</v>
      </c>
      <c r="B23" s="3"/>
      <c r="C23" s="3"/>
      <c r="D23" s="3" t="s">
        <v>15</v>
      </c>
      <c r="E23" s="3"/>
      <c r="F23" s="3" t="s">
        <v>15</v>
      </c>
      <c r="G23" s="3"/>
      <c r="H23" s="3"/>
      <c r="I23" s="3"/>
      <c r="J23" s="3"/>
      <c r="K23" s="3"/>
      <c r="L23" s="3"/>
      <c r="M23" s="3"/>
      <c r="N23" s="3"/>
      <c r="O23" s="3"/>
    </row>
    <row r="24" ht="12.75" customHeight="1">
      <c r="A24" s="2" t="s">
        <v>33</v>
      </c>
      <c r="B24" s="3" t="s">
        <v>16</v>
      </c>
      <c r="C24" s="3"/>
      <c r="D24" s="3" t="s">
        <v>15</v>
      </c>
      <c r="E24" s="3" t="s">
        <v>17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2.75" customHeight="1">
      <c r="A25" s="2" t="s">
        <v>34</v>
      </c>
      <c r="B25" s="3" t="s">
        <v>35</v>
      </c>
      <c r="C25" s="3"/>
      <c r="D25" s="3" t="s">
        <v>17</v>
      </c>
      <c r="E25" s="3" t="s">
        <v>15</v>
      </c>
      <c r="F25" s="3" t="s">
        <v>16</v>
      </c>
      <c r="G25" s="3"/>
      <c r="H25" s="3" t="s">
        <v>16</v>
      </c>
      <c r="I25" s="3" t="s">
        <v>16</v>
      </c>
      <c r="J25" s="3"/>
      <c r="K25" s="3"/>
      <c r="L25" s="3"/>
      <c r="M25" s="3"/>
      <c r="N25" s="3"/>
      <c r="O25" s="3"/>
    </row>
    <row r="26" ht="12.75" customHeight="1">
      <c r="A26" s="2" t="s">
        <v>36</v>
      </c>
      <c r="B26" s="3" t="s">
        <v>17</v>
      </c>
      <c r="C26" s="3"/>
      <c r="D26" s="3" t="s">
        <v>16</v>
      </c>
      <c r="E26" s="3" t="s">
        <v>15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2.75" customHeight="1">
      <c r="A27" s="2" t="s">
        <v>31</v>
      </c>
      <c r="B27" s="3" t="s">
        <v>17</v>
      </c>
      <c r="C27" s="3"/>
      <c r="D27" s="3"/>
      <c r="E27" s="3" t="s">
        <v>16</v>
      </c>
      <c r="F27" s="3"/>
      <c r="G27" s="3" t="s">
        <v>15</v>
      </c>
      <c r="H27" s="3"/>
      <c r="I27" s="3"/>
      <c r="J27" s="3"/>
      <c r="K27" s="3"/>
      <c r="L27" s="3"/>
      <c r="M27" s="3"/>
      <c r="N27" s="3"/>
      <c r="O27" s="3"/>
    </row>
    <row r="28" ht="12.75" customHeight="1">
      <c r="A28" s="2" t="s">
        <v>31</v>
      </c>
      <c r="B28" s="3" t="s">
        <v>15</v>
      </c>
      <c r="C28" s="3"/>
      <c r="D28" s="3"/>
      <c r="E28" s="3" t="s">
        <v>16</v>
      </c>
      <c r="F28" s="3" t="s">
        <v>17</v>
      </c>
      <c r="G28" s="3"/>
      <c r="H28" s="3"/>
      <c r="I28" s="3"/>
      <c r="J28" s="3"/>
      <c r="K28" s="3"/>
      <c r="L28" s="3"/>
      <c r="M28" s="3"/>
      <c r="N28" s="3"/>
      <c r="O28" s="3"/>
    </row>
    <row r="29" ht="12.75" customHeight="1">
      <c r="A29" s="2" t="s">
        <v>33</v>
      </c>
      <c r="B29" s="3" t="s">
        <v>15</v>
      </c>
      <c r="C29" s="3"/>
      <c r="D29" s="3" t="s">
        <v>16</v>
      </c>
      <c r="E29" s="3"/>
      <c r="F29" s="3" t="s">
        <v>17</v>
      </c>
      <c r="G29" s="3"/>
      <c r="H29" s="3"/>
      <c r="I29" s="3"/>
      <c r="J29" s="3"/>
      <c r="K29" s="3"/>
      <c r="L29" s="3"/>
      <c r="M29" s="3"/>
      <c r="N29" s="3"/>
      <c r="O29" s="3"/>
    </row>
    <row r="30" ht="12.75" customHeight="1">
      <c r="A30" s="2" t="s">
        <v>37</v>
      </c>
      <c r="B30" s="3"/>
      <c r="C30" s="3"/>
      <c r="D30" s="3"/>
      <c r="E30" s="3"/>
      <c r="F30" s="3"/>
      <c r="G30" s="3"/>
      <c r="H30" s="3"/>
      <c r="I30" s="3" t="s">
        <v>16</v>
      </c>
      <c r="J30" s="3"/>
      <c r="K30" s="3"/>
      <c r="L30" s="3"/>
      <c r="M30" s="3"/>
      <c r="N30" s="3"/>
      <c r="O30" s="3"/>
    </row>
    <row r="31" ht="12.75" customHeight="1">
      <c r="A31" s="2" t="s">
        <v>38</v>
      </c>
      <c r="B31" s="3"/>
      <c r="C31" s="3"/>
      <c r="D31" s="3" t="s">
        <v>16</v>
      </c>
      <c r="E31" s="3" t="s">
        <v>16</v>
      </c>
      <c r="F31" s="3" t="s">
        <v>15</v>
      </c>
      <c r="G31" s="3"/>
      <c r="H31" s="3"/>
      <c r="I31" s="3"/>
      <c r="J31" s="3"/>
      <c r="K31" s="3"/>
      <c r="L31" s="3"/>
      <c r="M31" s="3"/>
      <c r="N31" s="3"/>
      <c r="O31" s="3" t="s">
        <v>16</v>
      </c>
    </row>
    <row r="32" ht="12.75" customHeight="1">
      <c r="A32" s="2" t="s">
        <v>39</v>
      </c>
      <c r="B32" s="3"/>
      <c r="C32" s="3" t="s">
        <v>15</v>
      </c>
      <c r="D32" s="3" t="s">
        <v>16</v>
      </c>
      <c r="E32" s="3" t="s">
        <v>16</v>
      </c>
      <c r="F32" s="3" t="s">
        <v>15</v>
      </c>
      <c r="G32" s="3" t="s">
        <v>16</v>
      </c>
      <c r="H32" s="3" t="s">
        <v>16</v>
      </c>
      <c r="I32" s="3" t="s">
        <v>15</v>
      </c>
      <c r="J32" s="3" t="s">
        <v>16</v>
      </c>
      <c r="K32" s="3"/>
      <c r="L32" s="3" t="s">
        <v>15</v>
      </c>
      <c r="M32" s="3"/>
      <c r="N32" s="3"/>
      <c r="O32" s="3"/>
    </row>
    <row r="33" ht="12.75" customHeight="1">
      <c r="A33" s="2" t="s">
        <v>40</v>
      </c>
      <c r="B33" s="3" t="s">
        <v>16</v>
      </c>
      <c r="C33" s="3" t="s">
        <v>16</v>
      </c>
      <c r="D33" s="3"/>
      <c r="E33" s="3" t="s">
        <v>15</v>
      </c>
      <c r="F33" s="3" t="s">
        <v>15</v>
      </c>
      <c r="G33" s="3"/>
      <c r="H33" s="3"/>
      <c r="I33" s="3"/>
      <c r="J33" s="3"/>
      <c r="K33" s="3"/>
      <c r="L33" s="3"/>
      <c r="M33" s="3"/>
      <c r="N33" s="3"/>
      <c r="O33" s="3"/>
    </row>
    <row r="34" ht="12.75" customHeight="1">
      <c r="A34" s="2" t="s">
        <v>41</v>
      </c>
      <c r="B34" s="3" t="s">
        <v>15</v>
      </c>
      <c r="C34" s="3" t="s">
        <v>17</v>
      </c>
      <c r="D34" s="3"/>
      <c r="E34" s="3"/>
      <c r="F34" s="3" t="s">
        <v>15</v>
      </c>
      <c r="G34" s="3" t="s">
        <v>16</v>
      </c>
      <c r="H34" s="3"/>
      <c r="I34" s="3"/>
      <c r="J34" s="3"/>
      <c r="K34" s="3"/>
      <c r="L34" s="3" t="s">
        <v>17</v>
      </c>
      <c r="M34" s="3"/>
      <c r="N34" s="3"/>
      <c r="O34" s="3"/>
    </row>
    <row r="35" ht="12.75" customHeight="1">
      <c r="A35" s="2" t="s">
        <v>42</v>
      </c>
      <c r="B35" s="3"/>
      <c r="C35" s="3" t="s">
        <v>15</v>
      </c>
      <c r="D35" s="3" t="s">
        <v>15</v>
      </c>
      <c r="E35" s="3" t="s">
        <v>16</v>
      </c>
      <c r="F35" s="3"/>
      <c r="G35" s="3" t="s">
        <v>15</v>
      </c>
      <c r="H35" s="3"/>
      <c r="I35" s="3"/>
      <c r="J35" s="3"/>
      <c r="K35" s="3"/>
      <c r="L35" s="3"/>
      <c r="M35" s="3"/>
      <c r="N35" s="3"/>
      <c r="O35" s="3" t="s">
        <v>17</v>
      </c>
    </row>
    <row r="36" ht="12.75" customHeight="1">
      <c r="A36" s="2" t="s">
        <v>43</v>
      </c>
      <c r="B36" s="3" t="s">
        <v>15</v>
      </c>
      <c r="C36" s="3" t="s">
        <v>16</v>
      </c>
      <c r="D36" s="3"/>
      <c r="E36" s="3" t="s">
        <v>17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2.75" customHeight="1">
      <c r="A37" s="2" t="s">
        <v>44</v>
      </c>
      <c r="B37" s="3" t="s">
        <v>15</v>
      </c>
      <c r="C37" s="3"/>
      <c r="D37" s="3"/>
      <c r="E37" s="3" t="s">
        <v>17</v>
      </c>
      <c r="F37" s="3" t="s">
        <v>16</v>
      </c>
      <c r="G37" s="3"/>
      <c r="H37" s="3"/>
      <c r="I37" s="3" t="s">
        <v>17</v>
      </c>
      <c r="J37" s="3"/>
      <c r="K37" s="3"/>
      <c r="L37" s="3"/>
      <c r="M37" s="3"/>
      <c r="N37" s="3"/>
      <c r="O37" s="3"/>
    </row>
    <row r="38" ht="12.75" customHeight="1">
      <c r="A38" s="2" t="s">
        <v>31</v>
      </c>
      <c r="B38" s="3" t="s">
        <v>16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2.75" customHeight="1">
      <c r="A39" s="2" t="s">
        <v>45</v>
      </c>
      <c r="B39" s="3"/>
      <c r="C39" s="3" t="s">
        <v>16</v>
      </c>
      <c r="D39" s="3" t="s">
        <v>16</v>
      </c>
      <c r="E39" s="3" t="s">
        <v>15</v>
      </c>
      <c r="F39" s="3" t="s">
        <v>16</v>
      </c>
      <c r="G39" s="3"/>
      <c r="H39" s="3"/>
      <c r="I39" s="3"/>
      <c r="J39" s="3"/>
      <c r="K39" s="3"/>
      <c r="L39" s="3"/>
      <c r="M39" s="3"/>
      <c r="N39" s="3"/>
      <c r="O39" s="3"/>
    </row>
    <row r="40" ht="12.75" customHeight="1">
      <c r="A40" s="2" t="s">
        <v>45</v>
      </c>
      <c r="B40" s="3"/>
      <c r="C40" s="3" t="s">
        <v>16</v>
      </c>
      <c r="D40" s="3" t="s">
        <v>16</v>
      </c>
      <c r="E40" s="3" t="s">
        <v>15</v>
      </c>
      <c r="F40" s="3" t="s">
        <v>16</v>
      </c>
      <c r="G40" s="3"/>
      <c r="H40" s="3"/>
      <c r="I40" s="3"/>
      <c r="J40" s="3"/>
      <c r="K40" s="3"/>
      <c r="L40" s="3"/>
      <c r="M40" s="3"/>
      <c r="N40" s="3"/>
      <c r="O40" s="3"/>
    </row>
    <row r="41" ht="12.75" customHeight="1">
      <c r="A41" s="2" t="s">
        <v>45</v>
      </c>
      <c r="B41" s="3"/>
      <c r="C41" s="3"/>
      <c r="D41" s="3"/>
      <c r="E41" s="3" t="s">
        <v>17</v>
      </c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2.75" customHeight="1">
      <c r="A42" s="2" t="s">
        <v>46</v>
      </c>
      <c r="B42" s="3" t="s">
        <v>15</v>
      </c>
      <c r="C42" s="3"/>
      <c r="D42" s="3" t="s">
        <v>17</v>
      </c>
      <c r="E42" s="3" t="s">
        <v>17</v>
      </c>
      <c r="F42" s="3"/>
      <c r="G42" s="3" t="s">
        <v>17</v>
      </c>
      <c r="H42" s="3"/>
      <c r="I42" s="3"/>
      <c r="J42" s="3"/>
      <c r="K42" s="3"/>
      <c r="L42" s="3" t="s">
        <v>17</v>
      </c>
      <c r="M42" s="3"/>
      <c r="N42" s="3"/>
      <c r="O42" s="3"/>
    </row>
    <row r="43" ht="12.75" customHeight="1">
      <c r="A43" s="2" t="s">
        <v>47</v>
      </c>
      <c r="B43" s="3" t="s">
        <v>15</v>
      </c>
      <c r="C43" s="3" t="s">
        <v>16</v>
      </c>
      <c r="D43" s="3"/>
      <c r="E43" s="3"/>
      <c r="F43" s="3" t="s">
        <v>15</v>
      </c>
      <c r="G43" s="3" t="s">
        <v>17</v>
      </c>
      <c r="H43" s="3"/>
      <c r="I43" s="3"/>
      <c r="J43" s="3"/>
      <c r="K43" s="3"/>
      <c r="L43" s="3"/>
      <c r="M43" s="3"/>
      <c r="N43" s="3"/>
      <c r="O43" s="3"/>
    </row>
    <row r="44" ht="12.75" customHeight="1">
      <c r="A44" s="2" t="s">
        <v>48</v>
      </c>
      <c r="B44" s="3" t="s">
        <v>15</v>
      </c>
      <c r="C44" s="3" t="s">
        <v>16</v>
      </c>
      <c r="D44" s="3"/>
      <c r="E44" s="3"/>
      <c r="F44" s="3" t="s">
        <v>17</v>
      </c>
      <c r="G44" s="3"/>
      <c r="H44" s="3"/>
      <c r="I44" s="3"/>
      <c r="J44" s="3"/>
      <c r="K44" s="3"/>
      <c r="L44" s="3"/>
      <c r="M44" s="3"/>
      <c r="N44" s="3"/>
      <c r="O44" s="3"/>
    </row>
    <row r="45" ht="12.75" customHeight="1">
      <c r="A45" s="2" t="s">
        <v>49</v>
      </c>
      <c r="B45" s="3" t="s">
        <v>16</v>
      </c>
      <c r="C45" s="3" t="s">
        <v>15</v>
      </c>
      <c r="D45" s="3" t="s">
        <v>17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2.75" customHeight="1">
      <c r="A46" s="2" t="s">
        <v>23</v>
      </c>
      <c r="B46" s="3" t="s">
        <v>16</v>
      </c>
      <c r="C46" s="3" t="s">
        <v>17</v>
      </c>
      <c r="D46" s="3" t="s">
        <v>15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2.75" customHeight="1">
      <c r="A47" s="2" t="s">
        <v>50</v>
      </c>
      <c r="B47" s="3" t="s">
        <v>16</v>
      </c>
      <c r="C47" s="3" t="s">
        <v>15</v>
      </c>
      <c r="D47" s="3" t="s">
        <v>17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2.75" customHeight="1">
      <c r="B48" s="2" t="s">
        <v>51</v>
      </c>
      <c r="C48" s="2" t="s">
        <v>52</v>
      </c>
      <c r="D48" s="2" t="s">
        <v>53</v>
      </c>
      <c r="E48" s="2" t="s">
        <v>54</v>
      </c>
      <c r="F48" s="2" t="s">
        <v>55</v>
      </c>
      <c r="G48" s="2" t="s">
        <v>56</v>
      </c>
      <c r="H48" s="2" t="s">
        <v>56</v>
      </c>
      <c r="I48" s="2" t="s">
        <v>56</v>
      </c>
      <c r="J48" s="2" t="s">
        <v>56</v>
      </c>
      <c r="O48" s="2" t="s">
        <v>57</v>
      </c>
    </row>
    <row r="49" ht="12.75" customHeight="1">
      <c r="B49" s="2" t="s">
        <v>58</v>
      </c>
      <c r="C49" s="2" t="s">
        <v>59</v>
      </c>
      <c r="D49" s="2" t="s">
        <v>60</v>
      </c>
      <c r="E49" s="2" t="s">
        <v>60</v>
      </c>
      <c r="F49" s="2" t="s">
        <v>61</v>
      </c>
      <c r="G49" s="2" t="s">
        <v>62</v>
      </c>
      <c r="H49" s="2" t="s">
        <v>62</v>
      </c>
      <c r="I49" s="2" t="s">
        <v>62</v>
      </c>
      <c r="L49" s="2" t="s">
        <v>62</v>
      </c>
    </row>
    <row r="50" ht="12.75" customHeight="1">
      <c r="B50" s="2" t="s">
        <v>63</v>
      </c>
      <c r="C50" s="2" t="s">
        <v>64</v>
      </c>
      <c r="D50" s="2" t="s">
        <v>65</v>
      </c>
      <c r="E50" s="2" t="s">
        <v>66</v>
      </c>
      <c r="F50" s="2" t="s">
        <v>67</v>
      </c>
      <c r="G50" s="2" t="s">
        <v>63</v>
      </c>
      <c r="I50" s="2" t="s">
        <v>68</v>
      </c>
      <c r="L50" s="2" t="s">
        <v>63</v>
      </c>
      <c r="O50" s="2" t="s">
        <v>68</v>
      </c>
    </row>
    <row r="51" ht="12.75" customHeight="1"/>
    <row r="52" ht="12.75" customHeight="1">
      <c r="A52" s="4" t="s">
        <v>69</v>
      </c>
      <c r="B52" s="4">
        <v>26.75</v>
      </c>
      <c r="C52" s="4">
        <v>17.5</v>
      </c>
      <c r="D52" s="4">
        <v>12.0</v>
      </c>
      <c r="E52" s="4">
        <v>18.25</v>
      </c>
      <c r="F52" s="4">
        <v>19.25</v>
      </c>
      <c r="G52" s="4">
        <v>8.0</v>
      </c>
      <c r="H52" s="4">
        <v>3.25</v>
      </c>
      <c r="I52" s="4">
        <v>3.5</v>
      </c>
      <c r="J52" s="4">
        <v>2.0</v>
      </c>
      <c r="K52" s="4"/>
      <c r="L52" s="4">
        <v>3.0</v>
      </c>
      <c r="M52" s="4"/>
      <c r="N52" s="4"/>
      <c r="O52" s="4">
        <v>1.25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/>
    <row r="54" ht="12.75" customHeight="1">
      <c r="A54" s="2" t="s">
        <v>70</v>
      </c>
      <c r="B54" s="2" t="s">
        <v>71</v>
      </c>
      <c r="C54" s="2" t="s">
        <v>72</v>
      </c>
      <c r="D54" s="2" t="s">
        <v>73</v>
      </c>
      <c r="E54" s="2" t="s">
        <v>74</v>
      </c>
      <c r="F54" s="2" t="s">
        <v>75</v>
      </c>
      <c r="G54" s="2" t="s">
        <v>76</v>
      </c>
      <c r="H54" s="2" t="s">
        <v>77</v>
      </c>
      <c r="I54" s="2" t="s">
        <v>78</v>
      </c>
      <c r="J54" s="2" t="s">
        <v>79</v>
      </c>
      <c r="L54" s="2" t="s">
        <v>80</v>
      </c>
      <c r="O54" s="2" t="s">
        <v>81</v>
      </c>
    </row>
    <row r="55" ht="12.75" customHeight="1">
      <c r="B55" s="2" t="s">
        <v>0</v>
      </c>
      <c r="C55" s="2" t="s">
        <v>1</v>
      </c>
      <c r="D55" s="2" t="s">
        <v>2</v>
      </c>
      <c r="E55" s="2" t="s">
        <v>82</v>
      </c>
      <c r="F55" s="2" t="s">
        <v>7</v>
      </c>
      <c r="G55" s="2" t="s">
        <v>4</v>
      </c>
      <c r="H55" s="2" t="s">
        <v>6</v>
      </c>
      <c r="I55" s="2" t="s">
        <v>10</v>
      </c>
      <c r="J55" s="2" t="s">
        <v>8</v>
      </c>
      <c r="L55" s="2" t="s">
        <v>3</v>
      </c>
      <c r="O55" s="2" t="s">
        <v>13</v>
      </c>
    </row>
    <row r="56" ht="12.75" customHeight="1">
      <c r="B56" s="2">
        <v>26.75</v>
      </c>
      <c r="C56" s="2">
        <v>17.5</v>
      </c>
      <c r="D56" s="2">
        <v>12.0</v>
      </c>
      <c r="E56" s="2">
        <v>8.0</v>
      </c>
      <c r="F56" s="2">
        <v>3.5</v>
      </c>
      <c r="G56" s="2">
        <v>19.25</v>
      </c>
      <c r="H56" s="2">
        <v>3.25</v>
      </c>
      <c r="I56" s="2">
        <v>3.0</v>
      </c>
      <c r="J56" s="2">
        <v>2.0</v>
      </c>
      <c r="L56" s="2">
        <v>18.25</v>
      </c>
      <c r="O56" s="2">
        <v>1.25</v>
      </c>
    </row>
    <row r="57" ht="12.75" customHeight="1"/>
    <row r="58" ht="12.75" customHeight="1">
      <c r="A58" s="5" t="s">
        <v>83</v>
      </c>
      <c r="B58" s="5" t="s">
        <v>0</v>
      </c>
    </row>
    <row r="59" ht="12.75" customHeight="1"/>
    <row r="60" ht="12.75" customHeight="1">
      <c r="A60" s="2" t="s">
        <v>84</v>
      </c>
      <c r="B60" s="2">
        <v>48.0</v>
      </c>
    </row>
    <row r="61" ht="12.75" customHeight="1"/>
    <row r="62" ht="12.75" customHeight="1">
      <c r="A62" s="2" t="s">
        <v>85</v>
      </c>
      <c r="B62" s="2">
        <v>1.0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L62" s="2">
        <v>0.0</v>
      </c>
      <c r="O62" s="2">
        <v>0.0</v>
      </c>
    </row>
    <row r="63" ht="12.75" customHeight="1"/>
    <row r="64" ht="12.75" customHeight="1"/>
    <row r="65" ht="12.75" customHeight="1">
      <c r="B65" s="2" t="s">
        <v>86</v>
      </c>
    </row>
    <row r="66" ht="12.75" customHeight="1">
      <c r="B66" s="2" t="s">
        <v>87</v>
      </c>
    </row>
    <row r="67" ht="12.75" customHeight="1">
      <c r="B67" s="2" t="s">
        <v>88</v>
      </c>
    </row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52"/>
  <conditionalFormatting sqref="B2:O47">
    <cfRule type="cellIs" dxfId="0" priority="1" stopIfTrue="1" operator="equal">
      <formula>"PLATA"</formula>
    </cfRule>
  </conditionalFormatting>
  <conditionalFormatting sqref="B2:O47">
    <cfRule type="cellIs" dxfId="1" priority="2" stopIfTrue="1" operator="equal">
      <formula>"ORO"</formula>
    </cfRule>
  </conditionalFormatting>
  <conditionalFormatting sqref="B2:O47">
    <cfRule type="cellIs" dxfId="2" priority="3" stopIfTrue="1" operator="equal">
      <formula>"BRONCE"</formula>
    </cfRule>
  </conditionalFormatting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13.25"/>
    <col customWidth="1" min="3" max="3" width="9.88"/>
    <col customWidth="1" min="4" max="4" width="9.63"/>
    <col customWidth="1" min="5" max="5" width="9.88"/>
    <col customWidth="1" min="6" max="6" width="9.75"/>
    <col customWidth="1" min="7" max="7" width="9.88"/>
    <col customWidth="1" min="8" max="8" width="9.63"/>
    <col customWidth="1" min="9" max="9" width="9.25"/>
    <col customWidth="1" min="10" max="10" width="9.88"/>
    <col customWidth="1" min="11" max="11" width="9.38"/>
    <col customWidth="1" min="12" max="12" width="9.25"/>
    <col customWidth="1" min="13" max="13" width="9.88"/>
    <col customWidth="1" min="14" max="14" width="10.88"/>
    <col customWidth="1" min="15" max="15" width="9.38"/>
    <col customWidth="1" min="16" max="26" width="10.75"/>
  </cols>
  <sheetData>
    <row r="1" ht="12.75" customHeight="1">
      <c r="A1" s="6">
        <v>2010.0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ht="12.75" customHeight="1">
      <c r="A2" s="7">
        <v>-1.0</v>
      </c>
      <c r="B2" s="3" t="s">
        <v>15</v>
      </c>
      <c r="C2" s="3" t="s">
        <v>16</v>
      </c>
      <c r="D2" s="3" t="s">
        <v>89</v>
      </c>
      <c r="E2" s="3" t="s">
        <v>89</v>
      </c>
      <c r="F2" s="3" t="s">
        <v>17</v>
      </c>
      <c r="G2" s="3" t="s">
        <v>90</v>
      </c>
      <c r="H2" s="3" t="s">
        <v>90</v>
      </c>
      <c r="I2" s="3" t="s">
        <v>90</v>
      </c>
      <c r="J2" s="3" t="s">
        <v>90</v>
      </c>
      <c r="K2" s="3" t="s">
        <v>90</v>
      </c>
      <c r="L2" s="3" t="s">
        <v>90</v>
      </c>
      <c r="M2" s="3" t="s">
        <v>90</v>
      </c>
      <c r="N2" s="3" t="s">
        <v>90</v>
      </c>
      <c r="O2" s="3" t="s">
        <v>90</v>
      </c>
    </row>
    <row r="3" ht="12.75" customHeight="1">
      <c r="A3" s="7">
        <v>-1.0</v>
      </c>
      <c r="B3" s="3" t="s">
        <v>15</v>
      </c>
      <c r="C3" s="3" t="s">
        <v>17</v>
      </c>
      <c r="D3" s="3" t="s">
        <v>89</v>
      </c>
      <c r="E3" s="3" t="s">
        <v>16</v>
      </c>
      <c r="F3" s="3" t="s">
        <v>89</v>
      </c>
      <c r="G3" s="3" t="s">
        <v>89</v>
      </c>
      <c r="H3" s="3" t="s">
        <v>90</v>
      </c>
      <c r="I3" s="3" t="s">
        <v>90</v>
      </c>
      <c r="J3" s="3" t="s">
        <v>90</v>
      </c>
      <c r="K3" s="3" t="s">
        <v>90</v>
      </c>
      <c r="L3" s="3" t="s">
        <v>90</v>
      </c>
      <c r="M3" s="3" t="s">
        <v>90</v>
      </c>
      <c r="N3" s="3" t="s">
        <v>90</v>
      </c>
      <c r="O3" s="3" t="s">
        <v>90</v>
      </c>
    </row>
    <row r="4" ht="12.75" customHeight="1">
      <c r="A4" s="8" t="s">
        <v>18</v>
      </c>
      <c r="B4" s="3" t="s">
        <v>16</v>
      </c>
      <c r="C4" s="3" t="s">
        <v>89</v>
      </c>
      <c r="D4" s="3" t="s">
        <v>16</v>
      </c>
      <c r="E4" s="3" t="s">
        <v>89</v>
      </c>
      <c r="F4" s="3" t="s">
        <v>16</v>
      </c>
      <c r="G4" s="3" t="s">
        <v>89</v>
      </c>
      <c r="H4" s="3" t="s">
        <v>90</v>
      </c>
      <c r="I4" s="3" t="s">
        <v>90</v>
      </c>
      <c r="J4" s="3" t="s">
        <v>90</v>
      </c>
      <c r="K4" s="3" t="s">
        <v>90</v>
      </c>
      <c r="L4" s="3" t="s">
        <v>90</v>
      </c>
      <c r="M4" s="3" t="s">
        <v>90</v>
      </c>
      <c r="N4" s="3" t="s">
        <v>90</v>
      </c>
      <c r="O4" s="3" t="s">
        <v>90</v>
      </c>
    </row>
    <row r="5" ht="12.75" customHeight="1">
      <c r="A5" s="9" t="s">
        <v>91</v>
      </c>
      <c r="B5" s="3" t="s">
        <v>15</v>
      </c>
      <c r="C5" s="3" t="s">
        <v>17</v>
      </c>
      <c r="D5" s="3" t="s">
        <v>16</v>
      </c>
      <c r="E5" s="3" t="s">
        <v>89</v>
      </c>
      <c r="F5" s="3" t="s">
        <v>15</v>
      </c>
      <c r="G5" s="3" t="s">
        <v>16</v>
      </c>
      <c r="H5" s="3" t="s">
        <v>90</v>
      </c>
      <c r="I5" s="3" t="s">
        <v>90</v>
      </c>
      <c r="J5" s="3" t="s">
        <v>90</v>
      </c>
      <c r="K5" s="3" t="s">
        <v>90</v>
      </c>
      <c r="L5" s="3" t="s">
        <v>89</v>
      </c>
      <c r="M5" s="3" t="s">
        <v>89</v>
      </c>
      <c r="N5" s="3" t="s">
        <v>90</v>
      </c>
      <c r="O5" s="3" t="s">
        <v>90</v>
      </c>
    </row>
    <row r="6" ht="12.75" customHeight="1">
      <c r="A6" s="9" t="s">
        <v>91</v>
      </c>
      <c r="B6" s="3" t="s">
        <v>89</v>
      </c>
      <c r="C6" s="3" t="s">
        <v>16</v>
      </c>
      <c r="D6" s="3" t="s">
        <v>89</v>
      </c>
      <c r="E6" s="3" t="s">
        <v>15</v>
      </c>
      <c r="F6" s="3" t="s">
        <v>89</v>
      </c>
      <c r="G6" s="3" t="s">
        <v>89</v>
      </c>
      <c r="H6" s="3" t="s">
        <v>90</v>
      </c>
      <c r="I6" s="3" t="s">
        <v>90</v>
      </c>
      <c r="J6" s="3" t="s">
        <v>90</v>
      </c>
      <c r="K6" s="3" t="s">
        <v>90</v>
      </c>
      <c r="L6" s="3" t="s">
        <v>89</v>
      </c>
      <c r="M6" s="3" t="s">
        <v>15</v>
      </c>
      <c r="N6" s="3" t="s">
        <v>90</v>
      </c>
      <c r="O6" s="3" t="s">
        <v>90</v>
      </c>
    </row>
    <row r="7" ht="12.75" customHeight="1">
      <c r="A7" s="7" t="s">
        <v>33</v>
      </c>
      <c r="B7" s="3" t="s">
        <v>16</v>
      </c>
      <c r="C7" s="3" t="s">
        <v>15</v>
      </c>
      <c r="D7" s="3" t="s">
        <v>89</v>
      </c>
      <c r="E7" s="3" t="s">
        <v>17</v>
      </c>
      <c r="F7" s="3" t="s">
        <v>89</v>
      </c>
      <c r="G7" s="3" t="s">
        <v>90</v>
      </c>
      <c r="H7" s="3" t="s">
        <v>90</v>
      </c>
      <c r="I7" s="3" t="s">
        <v>90</v>
      </c>
      <c r="J7" s="3" t="s">
        <v>90</v>
      </c>
      <c r="K7" s="3" t="s">
        <v>90</v>
      </c>
      <c r="L7" s="3" t="s">
        <v>90</v>
      </c>
      <c r="M7" s="3" t="s">
        <v>89</v>
      </c>
      <c r="N7" s="3" t="s">
        <v>90</v>
      </c>
      <c r="O7" s="3" t="s">
        <v>90</v>
      </c>
    </row>
    <row r="8" ht="12.75" customHeight="1">
      <c r="A8" s="2" t="s">
        <v>31</v>
      </c>
      <c r="B8" s="3" t="s">
        <v>16</v>
      </c>
      <c r="C8" s="3" t="s">
        <v>89</v>
      </c>
      <c r="D8" s="3" t="s">
        <v>89</v>
      </c>
      <c r="E8" s="3" t="s">
        <v>89</v>
      </c>
      <c r="F8" s="3" t="s">
        <v>15</v>
      </c>
      <c r="G8" s="3" t="s">
        <v>90</v>
      </c>
      <c r="H8" s="3" t="s">
        <v>89</v>
      </c>
      <c r="I8" s="3" t="s">
        <v>16</v>
      </c>
      <c r="J8" s="3" t="s">
        <v>16</v>
      </c>
      <c r="K8" s="3" t="s">
        <v>90</v>
      </c>
      <c r="L8" s="3" t="s">
        <v>90</v>
      </c>
      <c r="M8" s="3" t="s">
        <v>17</v>
      </c>
      <c r="N8" s="3" t="s">
        <v>90</v>
      </c>
      <c r="O8" s="3" t="s">
        <v>90</v>
      </c>
    </row>
    <row r="9" ht="12.75" customHeight="1">
      <c r="A9" s="2" t="s">
        <v>92</v>
      </c>
      <c r="B9" s="3" t="s">
        <v>90</v>
      </c>
      <c r="C9" s="3" t="s">
        <v>15</v>
      </c>
      <c r="D9" s="3" t="s">
        <v>89</v>
      </c>
      <c r="E9" s="3" t="s">
        <v>16</v>
      </c>
      <c r="F9" s="3" t="s">
        <v>17</v>
      </c>
      <c r="G9" s="3" t="s">
        <v>90</v>
      </c>
      <c r="H9" s="3" t="s">
        <v>90</v>
      </c>
      <c r="I9" s="3" t="s">
        <v>90</v>
      </c>
      <c r="J9" s="3" t="s">
        <v>90</v>
      </c>
      <c r="K9" s="3" t="s">
        <v>90</v>
      </c>
      <c r="L9" s="3" t="s">
        <v>90</v>
      </c>
      <c r="M9" s="3" t="s">
        <v>90</v>
      </c>
      <c r="N9" s="3" t="s">
        <v>90</v>
      </c>
      <c r="O9" s="3" t="s">
        <v>90</v>
      </c>
    </row>
    <row r="10" ht="12.75" customHeight="1">
      <c r="A10" s="10" t="s">
        <v>93</v>
      </c>
      <c r="B10" s="3" t="s">
        <v>90</v>
      </c>
      <c r="C10" s="3" t="s">
        <v>15</v>
      </c>
      <c r="D10" s="3" t="s">
        <v>16</v>
      </c>
      <c r="E10" s="3" t="s">
        <v>15</v>
      </c>
      <c r="F10" s="3" t="s">
        <v>17</v>
      </c>
      <c r="G10" s="3" t="s">
        <v>90</v>
      </c>
      <c r="H10" s="3" t="s">
        <v>90</v>
      </c>
      <c r="I10" s="3" t="s">
        <v>90</v>
      </c>
      <c r="J10" s="3" t="s">
        <v>90</v>
      </c>
      <c r="K10" s="3" t="s">
        <v>90</v>
      </c>
      <c r="L10" s="3" t="s">
        <v>90</v>
      </c>
      <c r="M10" s="3" t="s">
        <v>90</v>
      </c>
      <c r="N10" s="3" t="s">
        <v>90</v>
      </c>
      <c r="O10" s="3" t="s">
        <v>90</v>
      </c>
    </row>
    <row r="11" ht="12.75" customHeight="1">
      <c r="A11" s="2" t="s">
        <v>19</v>
      </c>
      <c r="B11" s="3" t="s">
        <v>90</v>
      </c>
      <c r="C11" s="3" t="s">
        <v>15</v>
      </c>
      <c r="D11" s="3" t="s">
        <v>90</v>
      </c>
      <c r="E11" s="3" t="s">
        <v>16</v>
      </c>
      <c r="F11" s="3" t="s">
        <v>17</v>
      </c>
      <c r="G11" s="3" t="s">
        <v>90</v>
      </c>
      <c r="H11" s="3" t="s">
        <v>90</v>
      </c>
      <c r="I11" s="3" t="s">
        <v>90</v>
      </c>
      <c r="J11" s="3" t="s">
        <v>90</v>
      </c>
      <c r="K11" s="3" t="s">
        <v>90</v>
      </c>
      <c r="L11" s="3" t="s">
        <v>90</v>
      </c>
      <c r="M11" s="3" t="s">
        <v>90</v>
      </c>
      <c r="N11" s="3" t="s">
        <v>90</v>
      </c>
      <c r="O11" s="3" t="s">
        <v>90</v>
      </c>
    </row>
    <row r="12" ht="12.75" customHeight="1">
      <c r="A12" s="2" t="s">
        <v>25</v>
      </c>
      <c r="B12" s="3" t="s">
        <v>89</v>
      </c>
      <c r="C12" s="3" t="s">
        <v>89</v>
      </c>
      <c r="D12" s="3" t="s">
        <v>90</v>
      </c>
      <c r="E12" s="3" t="s">
        <v>16</v>
      </c>
      <c r="F12" s="3" t="s">
        <v>17</v>
      </c>
      <c r="G12" s="3" t="s">
        <v>15</v>
      </c>
      <c r="H12" s="3" t="s">
        <v>89</v>
      </c>
      <c r="I12" s="3" t="s">
        <v>89</v>
      </c>
      <c r="J12" s="3" t="s">
        <v>90</v>
      </c>
      <c r="K12" s="3" t="s">
        <v>90</v>
      </c>
      <c r="L12" s="3" t="s">
        <v>90</v>
      </c>
      <c r="M12" s="3" t="s">
        <v>90</v>
      </c>
      <c r="N12" s="3" t="s">
        <v>90</v>
      </c>
      <c r="O12" s="3" t="s">
        <v>90</v>
      </c>
    </row>
    <row r="13" ht="12.75" customHeight="1">
      <c r="A13" s="2" t="s">
        <v>39</v>
      </c>
      <c r="B13" s="3" t="s">
        <v>89</v>
      </c>
      <c r="C13" s="3" t="s">
        <v>16</v>
      </c>
      <c r="D13" s="3" t="s">
        <v>89</v>
      </c>
      <c r="E13" s="3" t="s">
        <v>16</v>
      </c>
      <c r="F13" s="3" t="s">
        <v>89</v>
      </c>
      <c r="G13" s="3" t="s">
        <v>90</v>
      </c>
      <c r="H13" s="3" t="s">
        <v>89</v>
      </c>
      <c r="I13" s="3" t="s">
        <v>16</v>
      </c>
      <c r="J13" s="3" t="s">
        <v>90</v>
      </c>
      <c r="K13" s="3" t="s">
        <v>90</v>
      </c>
      <c r="L13" s="3" t="s">
        <v>90</v>
      </c>
      <c r="M13" s="3" t="s">
        <v>90</v>
      </c>
      <c r="N13" s="3" t="s">
        <v>90</v>
      </c>
      <c r="O13" s="3" t="s">
        <v>90</v>
      </c>
    </row>
    <row r="14" ht="12.75" customHeight="1">
      <c r="A14" s="2" t="s">
        <v>39</v>
      </c>
      <c r="B14" s="3" t="s">
        <v>89</v>
      </c>
      <c r="C14" s="3" t="s">
        <v>16</v>
      </c>
      <c r="D14" s="3" t="s">
        <v>90</v>
      </c>
      <c r="E14" s="3" t="s">
        <v>16</v>
      </c>
      <c r="F14" s="3" t="s">
        <v>89</v>
      </c>
      <c r="G14" s="3" t="s">
        <v>16</v>
      </c>
      <c r="H14" s="3" t="s">
        <v>89</v>
      </c>
      <c r="I14" s="3" t="s">
        <v>90</v>
      </c>
      <c r="J14" s="3" t="s">
        <v>90</v>
      </c>
      <c r="K14" s="3" t="s">
        <v>90</v>
      </c>
      <c r="L14" s="3" t="s">
        <v>90</v>
      </c>
      <c r="M14" s="3" t="s">
        <v>90</v>
      </c>
      <c r="N14" s="3" t="s">
        <v>90</v>
      </c>
      <c r="O14" s="3" t="s">
        <v>90</v>
      </c>
    </row>
    <row r="15" ht="12.75" customHeight="1">
      <c r="A15" s="2" t="s">
        <v>27</v>
      </c>
      <c r="B15" s="3" t="s">
        <v>15</v>
      </c>
      <c r="C15" s="3" t="s">
        <v>15</v>
      </c>
      <c r="D15" s="3" t="s">
        <v>16</v>
      </c>
      <c r="E15" s="3" t="s">
        <v>17</v>
      </c>
      <c r="F15" s="3" t="s">
        <v>17</v>
      </c>
      <c r="G15" s="3" t="s">
        <v>16</v>
      </c>
      <c r="H15" s="3" t="s">
        <v>15</v>
      </c>
      <c r="I15" s="3" t="s">
        <v>90</v>
      </c>
      <c r="J15" s="3" t="s">
        <v>16</v>
      </c>
      <c r="K15" s="3" t="s">
        <v>90</v>
      </c>
      <c r="L15" s="3" t="s">
        <v>90</v>
      </c>
      <c r="M15" s="3" t="s">
        <v>90</v>
      </c>
      <c r="N15" s="3" t="s">
        <v>90</v>
      </c>
      <c r="O15" s="3" t="s">
        <v>90</v>
      </c>
    </row>
    <row r="16" ht="12.75" customHeight="1">
      <c r="A16" s="2" t="s">
        <v>94</v>
      </c>
      <c r="B16" s="3" t="s">
        <v>16</v>
      </c>
      <c r="C16" s="3" t="s">
        <v>17</v>
      </c>
      <c r="D16" s="3" t="s">
        <v>89</v>
      </c>
      <c r="E16" s="3" t="s">
        <v>15</v>
      </c>
      <c r="F16" s="3" t="s">
        <v>89</v>
      </c>
      <c r="G16" s="3" t="s">
        <v>90</v>
      </c>
      <c r="H16" s="3" t="s">
        <v>90</v>
      </c>
      <c r="I16" s="3" t="s">
        <v>90</v>
      </c>
      <c r="J16" s="3" t="s">
        <v>90</v>
      </c>
      <c r="K16" s="3" t="s">
        <v>90</v>
      </c>
      <c r="L16" s="3" t="s">
        <v>90</v>
      </c>
      <c r="M16" s="3" t="s">
        <v>90</v>
      </c>
      <c r="N16" s="3" t="s">
        <v>90</v>
      </c>
      <c r="O16" s="3" t="s">
        <v>90</v>
      </c>
    </row>
    <row r="17" ht="12.75" customHeight="1">
      <c r="A17" s="9" t="s">
        <v>91</v>
      </c>
      <c r="B17" s="3" t="s">
        <v>15</v>
      </c>
      <c r="C17" s="3" t="s">
        <v>89</v>
      </c>
      <c r="D17" s="3" t="s">
        <v>16</v>
      </c>
      <c r="E17" s="3" t="s">
        <v>17</v>
      </c>
      <c r="F17" s="3" t="s">
        <v>17</v>
      </c>
      <c r="G17" s="3" t="s">
        <v>16</v>
      </c>
      <c r="H17" s="3" t="s">
        <v>90</v>
      </c>
      <c r="I17" s="3" t="s">
        <v>90</v>
      </c>
      <c r="J17" s="3" t="s">
        <v>90</v>
      </c>
      <c r="K17" s="3" t="s">
        <v>90</v>
      </c>
      <c r="L17" s="3" t="s">
        <v>90</v>
      </c>
      <c r="M17" s="3" t="s">
        <v>90</v>
      </c>
      <c r="N17" s="3" t="s">
        <v>90</v>
      </c>
      <c r="O17" s="3" t="s">
        <v>90</v>
      </c>
    </row>
    <row r="18" ht="12.75" customHeight="1">
      <c r="A18" s="2" t="s">
        <v>23</v>
      </c>
      <c r="B18" s="3" t="s">
        <v>16</v>
      </c>
      <c r="C18" s="3" t="s">
        <v>15</v>
      </c>
      <c r="D18" s="3" t="s">
        <v>17</v>
      </c>
      <c r="E18" s="3" t="s">
        <v>89</v>
      </c>
      <c r="F18" s="3" t="s">
        <v>89</v>
      </c>
      <c r="G18" s="3" t="s">
        <v>90</v>
      </c>
      <c r="H18" s="3" t="s">
        <v>90</v>
      </c>
      <c r="I18" s="3" t="s">
        <v>90</v>
      </c>
      <c r="J18" s="3" t="s">
        <v>90</v>
      </c>
      <c r="K18" s="3" t="s">
        <v>90</v>
      </c>
      <c r="L18" s="3" t="s">
        <v>90</v>
      </c>
      <c r="M18" s="3" t="s">
        <v>90</v>
      </c>
      <c r="N18" s="3" t="s">
        <v>90</v>
      </c>
      <c r="O18" s="3" t="s">
        <v>90</v>
      </c>
    </row>
    <row r="19" ht="12.75" customHeight="1">
      <c r="A19" s="10" t="s">
        <v>95</v>
      </c>
      <c r="B19" s="3" t="s">
        <v>90</v>
      </c>
      <c r="C19" s="3" t="s">
        <v>90</v>
      </c>
      <c r="D19" s="3" t="s">
        <v>90</v>
      </c>
      <c r="E19" s="3" t="s">
        <v>90</v>
      </c>
      <c r="F19" s="3" t="s">
        <v>90</v>
      </c>
      <c r="G19" s="3" t="s">
        <v>90</v>
      </c>
      <c r="H19" s="3" t="s">
        <v>15</v>
      </c>
      <c r="I19" s="3" t="s">
        <v>16</v>
      </c>
      <c r="J19" s="3" t="s">
        <v>17</v>
      </c>
      <c r="K19" s="3" t="s">
        <v>90</v>
      </c>
      <c r="L19" s="3" t="s">
        <v>90</v>
      </c>
      <c r="M19" s="3" t="s">
        <v>90</v>
      </c>
      <c r="N19" s="3" t="s">
        <v>90</v>
      </c>
      <c r="O19" s="3" t="s">
        <v>90</v>
      </c>
    </row>
    <row r="20" ht="12.75" customHeight="1">
      <c r="A20" s="10" t="s">
        <v>96</v>
      </c>
      <c r="B20" s="3" t="s">
        <v>90</v>
      </c>
      <c r="C20" s="3" t="s">
        <v>90</v>
      </c>
      <c r="D20" s="3" t="s">
        <v>90</v>
      </c>
      <c r="E20" s="3" t="s">
        <v>90</v>
      </c>
      <c r="F20" s="3" t="s">
        <v>90</v>
      </c>
      <c r="G20" s="3" t="s">
        <v>90</v>
      </c>
      <c r="H20" s="3" t="s">
        <v>15</v>
      </c>
      <c r="I20" s="3" t="s">
        <v>15</v>
      </c>
      <c r="J20" s="3" t="s">
        <v>16</v>
      </c>
      <c r="K20" s="3" t="s">
        <v>90</v>
      </c>
      <c r="L20" s="3" t="s">
        <v>90</v>
      </c>
      <c r="M20" s="3" t="s">
        <v>90</v>
      </c>
      <c r="N20" s="3" t="s">
        <v>90</v>
      </c>
      <c r="O20" s="3" t="s">
        <v>90</v>
      </c>
    </row>
    <row r="21" ht="12.75" customHeight="1">
      <c r="A21" s="10" t="s">
        <v>97</v>
      </c>
      <c r="B21" s="3" t="s">
        <v>90</v>
      </c>
      <c r="C21" s="3" t="s">
        <v>15</v>
      </c>
      <c r="D21" s="3" t="s">
        <v>16</v>
      </c>
      <c r="E21" s="3" t="s">
        <v>17</v>
      </c>
      <c r="F21" s="3" t="s">
        <v>89</v>
      </c>
      <c r="G21" s="3" t="s">
        <v>90</v>
      </c>
      <c r="H21" s="3" t="s">
        <v>90</v>
      </c>
      <c r="I21" s="3" t="s">
        <v>90</v>
      </c>
      <c r="J21" s="3" t="s">
        <v>90</v>
      </c>
      <c r="K21" s="3" t="s">
        <v>90</v>
      </c>
      <c r="L21" s="3" t="s">
        <v>90</v>
      </c>
      <c r="M21" s="3" t="s">
        <v>90</v>
      </c>
      <c r="N21" s="3" t="s">
        <v>90</v>
      </c>
      <c r="O21" s="3" t="s">
        <v>90</v>
      </c>
    </row>
    <row r="22" ht="12.75" customHeight="1">
      <c r="A22" s="10" t="s">
        <v>98</v>
      </c>
      <c r="B22" s="3" t="s">
        <v>90</v>
      </c>
      <c r="C22" s="3" t="s">
        <v>15</v>
      </c>
      <c r="D22" s="3" t="s">
        <v>16</v>
      </c>
      <c r="E22" s="3" t="s">
        <v>17</v>
      </c>
      <c r="F22" s="3" t="s">
        <v>89</v>
      </c>
      <c r="G22" s="3" t="s">
        <v>90</v>
      </c>
      <c r="H22" s="3" t="s">
        <v>90</v>
      </c>
      <c r="I22" s="3" t="s">
        <v>90</v>
      </c>
      <c r="J22" s="3" t="s">
        <v>90</v>
      </c>
      <c r="K22" s="3" t="s">
        <v>90</v>
      </c>
      <c r="L22" s="3" t="s">
        <v>90</v>
      </c>
      <c r="M22" s="3" t="s">
        <v>90</v>
      </c>
      <c r="N22" s="3" t="s">
        <v>90</v>
      </c>
      <c r="O22" s="3" t="s">
        <v>90</v>
      </c>
    </row>
    <row r="23" ht="12.75" customHeight="1">
      <c r="A23" s="10" t="s">
        <v>99</v>
      </c>
      <c r="B23" s="3" t="s">
        <v>90</v>
      </c>
      <c r="C23" s="3" t="s">
        <v>16</v>
      </c>
      <c r="D23" s="3" t="s">
        <v>15</v>
      </c>
      <c r="E23" s="3" t="s">
        <v>17</v>
      </c>
      <c r="F23" s="3" t="s">
        <v>89</v>
      </c>
      <c r="G23" s="3" t="s">
        <v>90</v>
      </c>
      <c r="H23" s="3" t="s">
        <v>90</v>
      </c>
      <c r="I23" s="3" t="s">
        <v>90</v>
      </c>
      <c r="J23" s="3" t="s">
        <v>90</v>
      </c>
      <c r="K23" s="3" t="s">
        <v>90</v>
      </c>
      <c r="L23" s="3" t="s">
        <v>90</v>
      </c>
      <c r="M23" s="3" t="s">
        <v>90</v>
      </c>
      <c r="N23" s="3" t="s">
        <v>90</v>
      </c>
      <c r="O23" s="3" t="s">
        <v>90</v>
      </c>
    </row>
    <row r="24" ht="12.75" customHeight="1">
      <c r="A24" s="10" t="s">
        <v>100</v>
      </c>
      <c r="B24" s="3" t="s">
        <v>90</v>
      </c>
      <c r="C24" s="3" t="s">
        <v>15</v>
      </c>
      <c r="D24" s="3" t="s">
        <v>16</v>
      </c>
      <c r="E24" s="3" t="s">
        <v>89</v>
      </c>
      <c r="F24" s="3" t="s">
        <v>15</v>
      </c>
      <c r="G24" s="3" t="s">
        <v>90</v>
      </c>
      <c r="H24" s="3" t="s">
        <v>15</v>
      </c>
      <c r="I24" s="3" t="s">
        <v>15</v>
      </c>
      <c r="J24" s="3" t="s">
        <v>90</v>
      </c>
      <c r="K24" s="3" t="s">
        <v>90</v>
      </c>
      <c r="L24" s="3" t="s">
        <v>90</v>
      </c>
      <c r="M24" s="3" t="s">
        <v>90</v>
      </c>
      <c r="N24" s="3" t="s">
        <v>90</v>
      </c>
      <c r="O24" s="3" t="s">
        <v>90</v>
      </c>
    </row>
    <row r="25" ht="12.75" customHeight="1">
      <c r="A25" s="10" t="s">
        <v>101</v>
      </c>
      <c r="B25" s="3" t="s">
        <v>90</v>
      </c>
      <c r="C25" s="3" t="s">
        <v>89</v>
      </c>
      <c r="D25" s="3" t="s">
        <v>15</v>
      </c>
      <c r="E25" s="3" t="s">
        <v>17</v>
      </c>
      <c r="F25" s="3" t="s">
        <v>16</v>
      </c>
      <c r="G25" s="3" t="s">
        <v>90</v>
      </c>
      <c r="H25" s="3" t="s">
        <v>90</v>
      </c>
      <c r="I25" s="3" t="s">
        <v>90</v>
      </c>
      <c r="J25" s="3" t="s">
        <v>90</v>
      </c>
      <c r="K25" s="3" t="s">
        <v>90</v>
      </c>
      <c r="L25" s="3" t="s">
        <v>90</v>
      </c>
      <c r="M25" s="3" t="s">
        <v>90</v>
      </c>
      <c r="N25" s="3" t="s">
        <v>90</v>
      </c>
      <c r="O25" s="3" t="s">
        <v>90</v>
      </c>
    </row>
    <row r="26" ht="12.75" customHeight="1">
      <c r="A26" s="10" t="s">
        <v>102</v>
      </c>
      <c r="B26" s="3" t="s">
        <v>90</v>
      </c>
      <c r="C26" s="3" t="s">
        <v>89</v>
      </c>
      <c r="D26" s="3" t="s">
        <v>15</v>
      </c>
      <c r="E26" s="3" t="s">
        <v>16</v>
      </c>
      <c r="F26" s="3" t="s">
        <v>17</v>
      </c>
      <c r="G26" s="3" t="s">
        <v>90</v>
      </c>
      <c r="H26" s="3" t="s">
        <v>90</v>
      </c>
      <c r="I26" s="3" t="s">
        <v>90</v>
      </c>
      <c r="J26" s="3" t="s">
        <v>90</v>
      </c>
      <c r="K26" s="3" t="s">
        <v>90</v>
      </c>
      <c r="L26" s="3" t="s">
        <v>90</v>
      </c>
      <c r="M26" s="3" t="s">
        <v>90</v>
      </c>
      <c r="N26" s="3" t="s">
        <v>90</v>
      </c>
      <c r="O26" s="3" t="s">
        <v>90</v>
      </c>
    </row>
    <row r="27" ht="12.75" customHeight="1">
      <c r="A27" s="10" t="s">
        <v>103</v>
      </c>
      <c r="B27" s="3" t="s">
        <v>16</v>
      </c>
      <c r="C27" s="3" t="s">
        <v>89</v>
      </c>
      <c r="D27" s="3" t="s">
        <v>16</v>
      </c>
      <c r="E27" s="3" t="s">
        <v>16</v>
      </c>
      <c r="F27" s="3" t="s">
        <v>16</v>
      </c>
      <c r="G27" s="3" t="s">
        <v>90</v>
      </c>
      <c r="H27" s="3" t="s">
        <v>15</v>
      </c>
      <c r="I27" s="3" t="s">
        <v>16</v>
      </c>
      <c r="J27" s="3" t="s">
        <v>90</v>
      </c>
      <c r="K27" s="3" t="s">
        <v>90</v>
      </c>
      <c r="L27" s="3" t="s">
        <v>90</v>
      </c>
      <c r="M27" s="3" t="s">
        <v>90</v>
      </c>
      <c r="N27" s="3" t="s">
        <v>90</v>
      </c>
      <c r="O27" s="3" t="s">
        <v>90</v>
      </c>
    </row>
    <row r="28" ht="12.75" customHeight="1">
      <c r="A28" s="10" t="s">
        <v>104</v>
      </c>
      <c r="B28" s="3" t="s">
        <v>90</v>
      </c>
      <c r="C28" s="3" t="s">
        <v>89</v>
      </c>
      <c r="D28" s="3" t="s">
        <v>17</v>
      </c>
      <c r="E28" s="3" t="s">
        <v>15</v>
      </c>
      <c r="F28" s="3" t="s">
        <v>16</v>
      </c>
      <c r="G28" s="3" t="s">
        <v>90</v>
      </c>
      <c r="H28" s="3" t="s">
        <v>90</v>
      </c>
      <c r="I28" s="3" t="s">
        <v>90</v>
      </c>
      <c r="J28" s="3" t="s">
        <v>90</v>
      </c>
      <c r="K28" s="3" t="s">
        <v>90</v>
      </c>
      <c r="L28" s="3" t="s">
        <v>90</v>
      </c>
      <c r="M28" s="3" t="s">
        <v>90</v>
      </c>
      <c r="N28" s="3" t="s">
        <v>90</v>
      </c>
      <c r="O28" s="3" t="s">
        <v>90</v>
      </c>
    </row>
    <row r="29" ht="12.75" customHeight="1">
      <c r="A29" s="9" t="s">
        <v>91</v>
      </c>
      <c r="B29" s="3" t="s">
        <v>15</v>
      </c>
      <c r="C29" s="3" t="s">
        <v>17</v>
      </c>
      <c r="D29" s="3" t="s">
        <v>17</v>
      </c>
      <c r="E29" s="3" t="s">
        <v>17</v>
      </c>
      <c r="F29" s="3" t="s">
        <v>16</v>
      </c>
      <c r="G29" s="3" t="s">
        <v>17</v>
      </c>
      <c r="H29" s="3" t="s">
        <v>90</v>
      </c>
      <c r="I29" s="3" t="s">
        <v>90</v>
      </c>
      <c r="J29" s="3" t="s">
        <v>90</v>
      </c>
      <c r="K29" s="3" t="s">
        <v>90</v>
      </c>
      <c r="L29" s="3" t="s">
        <v>90</v>
      </c>
      <c r="M29" s="3" t="s">
        <v>90</v>
      </c>
      <c r="N29" s="3" t="s">
        <v>90</v>
      </c>
      <c r="O29" s="3" t="s">
        <v>90</v>
      </c>
    </row>
    <row r="30" ht="12.75" customHeight="1">
      <c r="A30" s="10" t="s">
        <v>105</v>
      </c>
      <c r="B30" s="3" t="s">
        <v>90</v>
      </c>
      <c r="C30" s="3" t="s">
        <v>89</v>
      </c>
      <c r="D30" s="3" t="s">
        <v>15</v>
      </c>
      <c r="E30" s="3" t="s">
        <v>89</v>
      </c>
      <c r="F30" s="3" t="s">
        <v>15</v>
      </c>
      <c r="G30" s="3" t="s">
        <v>90</v>
      </c>
      <c r="H30" s="3" t="s">
        <v>90</v>
      </c>
      <c r="I30" s="3" t="s">
        <v>90</v>
      </c>
      <c r="J30" s="3" t="s">
        <v>90</v>
      </c>
      <c r="K30" s="3" t="s">
        <v>16</v>
      </c>
      <c r="L30" s="3" t="s">
        <v>90</v>
      </c>
      <c r="M30" s="3" t="s">
        <v>90</v>
      </c>
      <c r="N30" s="3" t="s">
        <v>90</v>
      </c>
      <c r="O30" s="3" t="s">
        <v>90</v>
      </c>
    </row>
    <row r="31" ht="12.75" customHeight="1">
      <c r="A31" s="10" t="s">
        <v>106</v>
      </c>
      <c r="B31" s="3" t="s">
        <v>90</v>
      </c>
      <c r="C31" s="3" t="s">
        <v>15</v>
      </c>
      <c r="D31" s="3" t="s">
        <v>89</v>
      </c>
      <c r="E31" s="3" t="s">
        <v>17</v>
      </c>
      <c r="F31" s="3" t="s">
        <v>89</v>
      </c>
      <c r="G31" s="3" t="s">
        <v>90</v>
      </c>
      <c r="H31" s="3" t="s">
        <v>90</v>
      </c>
      <c r="I31" s="3" t="s">
        <v>90</v>
      </c>
      <c r="J31" s="3" t="s">
        <v>90</v>
      </c>
      <c r="K31" s="3" t="s">
        <v>16</v>
      </c>
      <c r="L31" s="3" t="s">
        <v>90</v>
      </c>
      <c r="M31" s="3" t="s">
        <v>90</v>
      </c>
      <c r="N31" s="3" t="s">
        <v>90</v>
      </c>
      <c r="O31" s="3" t="s">
        <v>90</v>
      </c>
    </row>
    <row r="32" ht="12.75" customHeight="1">
      <c r="A32" s="10" t="s">
        <v>107</v>
      </c>
      <c r="B32" s="3" t="s">
        <v>90</v>
      </c>
      <c r="C32" s="3" t="s">
        <v>15</v>
      </c>
      <c r="D32" s="3" t="s">
        <v>89</v>
      </c>
      <c r="E32" s="3" t="s">
        <v>17</v>
      </c>
      <c r="F32" s="3" t="s">
        <v>89</v>
      </c>
      <c r="G32" s="3" t="s">
        <v>90</v>
      </c>
      <c r="H32" s="3" t="s">
        <v>90</v>
      </c>
      <c r="I32" s="3" t="s">
        <v>89</v>
      </c>
      <c r="J32" s="3" t="s">
        <v>90</v>
      </c>
      <c r="K32" s="3" t="s">
        <v>16</v>
      </c>
      <c r="L32" s="3" t="s">
        <v>90</v>
      </c>
      <c r="M32" s="3" t="s">
        <v>90</v>
      </c>
      <c r="N32" s="3" t="s">
        <v>90</v>
      </c>
      <c r="O32" s="3" t="s">
        <v>90</v>
      </c>
    </row>
    <row r="33" ht="12.75" customHeight="1">
      <c r="A33" s="10" t="s">
        <v>108</v>
      </c>
      <c r="B33" s="3" t="s">
        <v>15</v>
      </c>
      <c r="C33" s="3" t="s">
        <v>17</v>
      </c>
      <c r="D33" s="3" t="s">
        <v>89</v>
      </c>
      <c r="E33" s="3" t="s">
        <v>89</v>
      </c>
      <c r="F33" s="3" t="s">
        <v>16</v>
      </c>
      <c r="G33" s="3" t="s">
        <v>90</v>
      </c>
      <c r="H33" s="3" t="s">
        <v>90</v>
      </c>
      <c r="I33" s="3" t="s">
        <v>90</v>
      </c>
      <c r="J33" s="3" t="s">
        <v>90</v>
      </c>
      <c r="K33" s="3" t="s">
        <v>90</v>
      </c>
      <c r="L33" s="3" t="s">
        <v>90</v>
      </c>
      <c r="M33" s="3" t="s">
        <v>90</v>
      </c>
      <c r="N33" s="3" t="s">
        <v>90</v>
      </c>
      <c r="O33" s="3" t="s">
        <v>90</v>
      </c>
    </row>
    <row r="34" ht="12.75" customHeight="1">
      <c r="A34" s="3" t="s">
        <v>109</v>
      </c>
      <c r="B34" s="3" t="s">
        <v>15</v>
      </c>
      <c r="C34" s="3" t="s">
        <v>16</v>
      </c>
      <c r="D34" s="3" t="s">
        <v>89</v>
      </c>
      <c r="E34" s="3" t="s">
        <v>17</v>
      </c>
      <c r="F34" s="3" t="s">
        <v>15</v>
      </c>
      <c r="G34" s="3" t="s">
        <v>17</v>
      </c>
      <c r="H34" s="3" t="s">
        <v>89</v>
      </c>
      <c r="I34" s="3" t="s">
        <v>17</v>
      </c>
      <c r="J34" s="3" t="s">
        <v>15</v>
      </c>
      <c r="K34" s="3" t="s">
        <v>90</v>
      </c>
      <c r="L34" s="3" t="s">
        <v>90</v>
      </c>
      <c r="M34" s="3" t="s">
        <v>90</v>
      </c>
      <c r="N34" s="3" t="s">
        <v>17</v>
      </c>
      <c r="O34" s="3" t="s">
        <v>90</v>
      </c>
    </row>
    <row r="35" ht="12.75" customHeight="1">
      <c r="A35" s="8" t="s">
        <v>18</v>
      </c>
      <c r="B35" s="3" t="s">
        <v>89</v>
      </c>
      <c r="C35" s="3" t="s">
        <v>15</v>
      </c>
      <c r="D35" s="3" t="s">
        <v>90</v>
      </c>
      <c r="E35" s="3" t="s">
        <v>16</v>
      </c>
      <c r="F35" s="3" t="s">
        <v>17</v>
      </c>
      <c r="G35" s="3" t="s">
        <v>90</v>
      </c>
      <c r="H35" s="3" t="s">
        <v>90</v>
      </c>
      <c r="I35" s="3" t="s">
        <v>89</v>
      </c>
      <c r="J35" s="3" t="s">
        <v>90</v>
      </c>
      <c r="K35" s="3" t="s">
        <v>89</v>
      </c>
      <c r="L35" s="3" t="s">
        <v>90</v>
      </c>
      <c r="M35" s="3" t="s">
        <v>90</v>
      </c>
      <c r="N35" s="3" t="s">
        <v>90</v>
      </c>
      <c r="O35" s="3" t="s">
        <v>90</v>
      </c>
    </row>
    <row r="36" ht="12.75" customHeight="1">
      <c r="A36" s="9" t="s">
        <v>91</v>
      </c>
      <c r="B36" s="3" t="s">
        <v>16</v>
      </c>
      <c r="C36" s="3" t="s">
        <v>89</v>
      </c>
      <c r="D36" s="3" t="s">
        <v>17</v>
      </c>
      <c r="E36" s="3" t="s">
        <v>89</v>
      </c>
      <c r="F36" s="3" t="s">
        <v>89</v>
      </c>
      <c r="G36" s="3" t="s">
        <v>17</v>
      </c>
      <c r="H36" s="3" t="s">
        <v>90</v>
      </c>
      <c r="I36" s="3" t="s">
        <v>90</v>
      </c>
      <c r="J36" s="3" t="s">
        <v>90</v>
      </c>
      <c r="K36" s="3" t="s">
        <v>15</v>
      </c>
      <c r="L36" s="3" t="s">
        <v>90</v>
      </c>
      <c r="M36" s="3" t="s">
        <v>90</v>
      </c>
      <c r="N36" s="3" t="s">
        <v>90</v>
      </c>
      <c r="O36" s="3" t="s">
        <v>90</v>
      </c>
    </row>
    <row r="37" ht="12.75" customHeight="1">
      <c r="A37" s="2" t="s">
        <v>31</v>
      </c>
      <c r="B37" s="3" t="s">
        <v>15</v>
      </c>
      <c r="C37" s="3" t="s">
        <v>89</v>
      </c>
      <c r="D37" s="3" t="s">
        <v>17</v>
      </c>
      <c r="E37" s="3" t="s">
        <v>89</v>
      </c>
      <c r="F37" s="3" t="s">
        <v>89</v>
      </c>
      <c r="G37" s="3" t="s">
        <v>90</v>
      </c>
      <c r="H37" s="3" t="s">
        <v>89</v>
      </c>
      <c r="I37" s="3" t="s">
        <v>89</v>
      </c>
      <c r="J37" s="3" t="s">
        <v>17</v>
      </c>
      <c r="K37" s="3" t="s">
        <v>16</v>
      </c>
      <c r="L37" s="3" t="s">
        <v>90</v>
      </c>
      <c r="M37" s="3" t="s">
        <v>90</v>
      </c>
      <c r="N37" s="3" t="s">
        <v>90</v>
      </c>
      <c r="O37" s="3" t="s">
        <v>90</v>
      </c>
    </row>
    <row r="38" ht="12.75" customHeight="1">
      <c r="A38" s="2" t="s">
        <v>31</v>
      </c>
      <c r="B38" s="3" t="s">
        <v>16</v>
      </c>
      <c r="C38" s="3" t="s">
        <v>89</v>
      </c>
      <c r="D38" s="3" t="s">
        <v>89</v>
      </c>
      <c r="E38" s="3" t="s">
        <v>89</v>
      </c>
      <c r="F38" s="3" t="s">
        <v>89</v>
      </c>
      <c r="G38" s="3" t="s">
        <v>89</v>
      </c>
      <c r="H38" s="3" t="s">
        <v>89</v>
      </c>
      <c r="I38" s="3" t="s">
        <v>89</v>
      </c>
      <c r="J38" s="3" t="s">
        <v>89</v>
      </c>
      <c r="K38" s="3" t="s">
        <v>17</v>
      </c>
      <c r="L38" s="3" t="s">
        <v>90</v>
      </c>
      <c r="M38" s="3" t="s">
        <v>90</v>
      </c>
      <c r="N38" s="3" t="s">
        <v>15</v>
      </c>
      <c r="O38" s="3" t="s">
        <v>90</v>
      </c>
    </row>
    <row r="39" ht="12.75" customHeight="1">
      <c r="A39" s="2" t="s">
        <v>110</v>
      </c>
      <c r="B39" s="3" t="s">
        <v>16</v>
      </c>
      <c r="C39" s="3" t="s">
        <v>89</v>
      </c>
      <c r="D39" s="3" t="s">
        <v>16</v>
      </c>
      <c r="E39" s="3" t="s">
        <v>89</v>
      </c>
      <c r="F39" s="3" t="s">
        <v>89</v>
      </c>
      <c r="G39" s="3" t="s">
        <v>16</v>
      </c>
      <c r="H39" s="3" t="s">
        <v>90</v>
      </c>
      <c r="I39" s="3" t="s">
        <v>90</v>
      </c>
      <c r="J39" s="3" t="s">
        <v>90</v>
      </c>
      <c r="K39" s="3" t="s">
        <v>89</v>
      </c>
      <c r="L39" s="3" t="s">
        <v>90</v>
      </c>
      <c r="M39" s="3" t="s">
        <v>90</v>
      </c>
      <c r="N39" s="3" t="s">
        <v>16</v>
      </c>
      <c r="O39" s="3" t="s">
        <v>90</v>
      </c>
    </row>
    <row r="40" ht="12.75" customHeight="1">
      <c r="A40" s="2" t="s">
        <v>110</v>
      </c>
      <c r="B40" s="3" t="s">
        <v>89</v>
      </c>
      <c r="C40" s="3" t="s">
        <v>16</v>
      </c>
      <c r="D40" s="3" t="s">
        <v>89</v>
      </c>
      <c r="E40" s="3" t="s">
        <v>16</v>
      </c>
      <c r="F40" s="3" t="s">
        <v>16</v>
      </c>
      <c r="G40" s="3" t="s">
        <v>89</v>
      </c>
      <c r="H40" s="3" t="s">
        <v>90</v>
      </c>
      <c r="I40" s="3" t="s">
        <v>90</v>
      </c>
      <c r="J40" s="3" t="s">
        <v>90</v>
      </c>
      <c r="K40" s="3" t="s">
        <v>16</v>
      </c>
      <c r="L40" s="3" t="s">
        <v>90</v>
      </c>
      <c r="M40" s="3" t="s">
        <v>90</v>
      </c>
      <c r="N40" s="3" t="s">
        <v>89</v>
      </c>
      <c r="O40" s="3" t="s">
        <v>90</v>
      </c>
    </row>
    <row r="41" ht="12.75" customHeight="1">
      <c r="A41" s="2" t="s">
        <v>111</v>
      </c>
      <c r="B41" s="3" t="s">
        <v>89</v>
      </c>
      <c r="C41" s="3" t="s">
        <v>16</v>
      </c>
      <c r="D41" s="3" t="s">
        <v>90</v>
      </c>
      <c r="E41" s="3" t="s">
        <v>16</v>
      </c>
      <c r="F41" s="3" t="s">
        <v>16</v>
      </c>
      <c r="G41" s="3" t="s">
        <v>16</v>
      </c>
      <c r="H41" s="3" t="s">
        <v>89</v>
      </c>
      <c r="I41" s="3" t="s">
        <v>89</v>
      </c>
      <c r="J41" s="3" t="s">
        <v>90</v>
      </c>
      <c r="K41" s="3" t="s">
        <v>89</v>
      </c>
      <c r="L41" s="3" t="s">
        <v>90</v>
      </c>
      <c r="M41" s="3" t="s">
        <v>90</v>
      </c>
      <c r="N41" s="3" t="s">
        <v>89</v>
      </c>
      <c r="O41" s="3" t="s">
        <v>90</v>
      </c>
    </row>
    <row r="42" ht="12.75" customHeight="1">
      <c r="A42" s="2" t="s">
        <v>112</v>
      </c>
      <c r="B42" s="3" t="s">
        <v>16</v>
      </c>
      <c r="C42" s="3" t="s">
        <v>89</v>
      </c>
      <c r="D42" s="3" t="s">
        <v>90</v>
      </c>
      <c r="E42" s="3" t="s">
        <v>89</v>
      </c>
      <c r="F42" s="3" t="s">
        <v>16</v>
      </c>
      <c r="G42" s="3" t="s">
        <v>16</v>
      </c>
      <c r="H42" s="3" t="s">
        <v>90</v>
      </c>
      <c r="I42" s="3" t="s">
        <v>90</v>
      </c>
      <c r="J42" s="3" t="s">
        <v>90</v>
      </c>
      <c r="K42" s="3" t="s">
        <v>89</v>
      </c>
      <c r="L42" s="3" t="s">
        <v>90</v>
      </c>
      <c r="M42" s="3" t="s">
        <v>90</v>
      </c>
      <c r="N42" s="3" t="s">
        <v>90</v>
      </c>
      <c r="O42" s="3" t="s">
        <v>90</v>
      </c>
    </row>
    <row r="43" ht="12.75" customHeight="1">
      <c r="A43" s="2" t="s">
        <v>44</v>
      </c>
      <c r="B43" s="3" t="s">
        <v>16</v>
      </c>
      <c r="C43" s="3" t="s">
        <v>15</v>
      </c>
      <c r="D43" s="3" t="s">
        <v>89</v>
      </c>
      <c r="E43" s="3" t="s">
        <v>17</v>
      </c>
      <c r="F43" s="3" t="s">
        <v>89</v>
      </c>
      <c r="G43" s="3" t="s">
        <v>89</v>
      </c>
      <c r="H43" s="3" t="s">
        <v>90</v>
      </c>
      <c r="I43" s="3" t="s">
        <v>90</v>
      </c>
      <c r="J43" s="3" t="s">
        <v>90</v>
      </c>
      <c r="K43" s="3" t="s">
        <v>90</v>
      </c>
      <c r="L43" s="3" t="s">
        <v>90</v>
      </c>
      <c r="M43" s="3" t="s">
        <v>90</v>
      </c>
      <c r="N43" s="3" t="s">
        <v>90</v>
      </c>
      <c r="O43" s="3" t="s">
        <v>90</v>
      </c>
    </row>
    <row r="44" ht="12.75" customHeight="1">
      <c r="A44" s="2" t="s">
        <v>113</v>
      </c>
      <c r="B44" s="3" t="s">
        <v>90</v>
      </c>
      <c r="C44" s="3" t="s">
        <v>16</v>
      </c>
      <c r="D44" s="3" t="s">
        <v>89</v>
      </c>
      <c r="E44" s="3" t="s">
        <v>89</v>
      </c>
      <c r="F44" s="3" t="s">
        <v>89</v>
      </c>
      <c r="G44" s="3" t="s">
        <v>17</v>
      </c>
      <c r="H44" s="3" t="s">
        <v>90</v>
      </c>
      <c r="I44" s="3" t="s">
        <v>90</v>
      </c>
      <c r="J44" s="3" t="s">
        <v>90</v>
      </c>
      <c r="K44" s="3" t="s">
        <v>15</v>
      </c>
      <c r="L44" s="3" t="s">
        <v>90</v>
      </c>
      <c r="M44" s="3" t="s">
        <v>90</v>
      </c>
      <c r="N44" s="3" t="s">
        <v>89</v>
      </c>
      <c r="O44" s="3" t="s">
        <v>90</v>
      </c>
    </row>
    <row r="45" ht="12.75" customHeight="1">
      <c r="A45" s="2" t="s">
        <v>114</v>
      </c>
      <c r="B45" s="3" t="s">
        <v>90</v>
      </c>
      <c r="C45" s="3" t="s">
        <v>16</v>
      </c>
      <c r="D45" s="3" t="s">
        <v>89</v>
      </c>
      <c r="E45" s="3" t="s">
        <v>89</v>
      </c>
      <c r="F45" s="3" t="s">
        <v>15</v>
      </c>
      <c r="G45" s="3" t="s">
        <v>17</v>
      </c>
      <c r="H45" s="3" t="s">
        <v>90</v>
      </c>
      <c r="I45" s="3" t="s">
        <v>90</v>
      </c>
      <c r="J45" s="3" t="s">
        <v>90</v>
      </c>
      <c r="K45" s="3" t="s">
        <v>90</v>
      </c>
      <c r="L45" s="3" t="s">
        <v>90</v>
      </c>
      <c r="M45" s="3" t="s">
        <v>90</v>
      </c>
      <c r="N45" s="3" t="s">
        <v>89</v>
      </c>
      <c r="O45" s="3" t="s">
        <v>90</v>
      </c>
    </row>
    <row r="46" ht="12.75" customHeight="1">
      <c r="A46" s="7" t="s">
        <v>29</v>
      </c>
      <c r="B46" s="3" t="s">
        <v>16</v>
      </c>
      <c r="C46" s="3" t="s">
        <v>89</v>
      </c>
      <c r="D46" s="3" t="s">
        <v>90</v>
      </c>
      <c r="E46" s="3" t="s">
        <v>89</v>
      </c>
      <c r="F46" s="3" t="s">
        <v>16</v>
      </c>
      <c r="G46" s="3" t="s">
        <v>90</v>
      </c>
      <c r="H46" s="3" t="s">
        <v>90</v>
      </c>
      <c r="I46" s="3" t="s">
        <v>90</v>
      </c>
      <c r="J46" s="3" t="s">
        <v>90</v>
      </c>
      <c r="K46" s="3" t="s">
        <v>90</v>
      </c>
      <c r="L46" s="3" t="s">
        <v>90</v>
      </c>
      <c r="M46" s="3" t="s">
        <v>90</v>
      </c>
      <c r="N46" s="3" t="s">
        <v>90</v>
      </c>
      <c r="O46" s="3" t="s">
        <v>90</v>
      </c>
    </row>
    <row r="47" ht="12.75" customHeight="1">
      <c r="A47" s="2" t="s">
        <v>42</v>
      </c>
      <c r="B47" s="3" t="s">
        <v>90</v>
      </c>
      <c r="C47" s="3" t="s">
        <v>90</v>
      </c>
      <c r="D47" s="3" t="s">
        <v>16</v>
      </c>
      <c r="E47" s="3" t="s">
        <v>90</v>
      </c>
      <c r="F47" s="3" t="s">
        <v>90</v>
      </c>
      <c r="G47" s="3" t="s">
        <v>15</v>
      </c>
      <c r="H47" s="3" t="s">
        <v>17</v>
      </c>
      <c r="I47" s="3" t="s">
        <v>89</v>
      </c>
      <c r="J47" s="3" t="s">
        <v>16</v>
      </c>
      <c r="K47" s="3" t="s">
        <v>90</v>
      </c>
      <c r="L47" s="3" t="s">
        <v>90</v>
      </c>
      <c r="M47" s="3" t="s">
        <v>90</v>
      </c>
      <c r="N47" s="3" t="s">
        <v>90</v>
      </c>
      <c r="O47" s="3" t="s">
        <v>90</v>
      </c>
    </row>
    <row r="48" ht="12.75" customHeight="1">
      <c r="A48" s="7" t="s">
        <v>29</v>
      </c>
      <c r="B48" s="3" t="s">
        <v>16</v>
      </c>
      <c r="C48" s="3" t="s">
        <v>89</v>
      </c>
      <c r="D48" s="3" t="s">
        <v>89</v>
      </c>
      <c r="E48" s="3" t="s">
        <v>16</v>
      </c>
      <c r="F48" s="3" t="s">
        <v>16</v>
      </c>
      <c r="G48" s="3" t="s">
        <v>90</v>
      </c>
      <c r="H48" s="3" t="s">
        <v>90</v>
      </c>
      <c r="I48" s="3" t="s">
        <v>90</v>
      </c>
      <c r="J48" s="3" t="s">
        <v>90</v>
      </c>
      <c r="K48" s="3" t="s">
        <v>89</v>
      </c>
      <c r="L48" s="3" t="s">
        <v>90</v>
      </c>
      <c r="M48" s="3" t="s">
        <v>90</v>
      </c>
      <c r="N48" s="3" t="s">
        <v>90</v>
      </c>
      <c r="O48" s="3" t="s">
        <v>90</v>
      </c>
    </row>
    <row r="49" ht="12.75" customHeight="1">
      <c r="A49" s="7" t="s">
        <v>29</v>
      </c>
      <c r="B49" s="3" t="s">
        <v>89</v>
      </c>
      <c r="C49" s="3" t="s">
        <v>90</v>
      </c>
      <c r="D49" s="3" t="s">
        <v>90</v>
      </c>
      <c r="E49" s="3" t="s">
        <v>90</v>
      </c>
      <c r="F49" s="3" t="s">
        <v>90</v>
      </c>
      <c r="G49" s="3" t="s">
        <v>16</v>
      </c>
      <c r="H49" s="3" t="s">
        <v>90</v>
      </c>
      <c r="I49" s="3" t="s">
        <v>16</v>
      </c>
      <c r="J49" s="3" t="s">
        <v>90</v>
      </c>
      <c r="K49" s="3" t="s">
        <v>90</v>
      </c>
      <c r="L49" s="3" t="s">
        <v>90</v>
      </c>
      <c r="M49" s="3" t="s">
        <v>90</v>
      </c>
      <c r="N49" s="3" t="s">
        <v>90</v>
      </c>
      <c r="O49" s="3" t="s">
        <v>90</v>
      </c>
    </row>
    <row r="50" ht="12.75" customHeight="1">
      <c r="A50" s="2" t="s">
        <v>115</v>
      </c>
      <c r="B50" s="3" t="s">
        <v>89</v>
      </c>
      <c r="C50" s="3" t="s">
        <v>89</v>
      </c>
      <c r="D50" s="3" t="s">
        <v>89</v>
      </c>
      <c r="E50" s="3" t="s">
        <v>16</v>
      </c>
      <c r="F50" s="3" t="s">
        <v>16</v>
      </c>
      <c r="G50" s="3" t="s">
        <v>89</v>
      </c>
      <c r="H50" s="3" t="s">
        <v>89</v>
      </c>
      <c r="I50" s="3" t="s">
        <v>89</v>
      </c>
      <c r="J50" s="3" t="s">
        <v>89</v>
      </c>
      <c r="K50" s="3" t="s">
        <v>89</v>
      </c>
      <c r="L50" s="3" t="s">
        <v>90</v>
      </c>
      <c r="M50" s="3" t="s">
        <v>90</v>
      </c>
      <c r="N50" s="3" t="s">
        <v>89</v>
      </c>
      <c r="O50" s="3" t="s">
        <v>89</v>
      </c>
    </row>
    <row r="51" ht="12.75" customHeight="1">
      <c r="A51" s="10" t="s">
        <v>116</v>
      </c>
      <c r="B51" s="3" t="s">
        <v>16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90</v>
      </c>
      <c r="M51" s="3" t="s">
        <v>90</v>
      </c>
      <c r="N51" s="3" t="s">
        <v>16</v>
      </c>
      <c r="O51" s="3" t="s">
        <v>90</v>
      </c>
    </row>
    <row r="52" ht="12.75" customHeight="1">
      <c r="A52" s="10" t="s">
        <v>101</v>
      </c>
      <c r="B52" s="3" t="s">
        <v>90</v>
      </c>
      <c r="C52" s="3" t="s">
        <v>89</v>
      </c>
      <c r="D52" s="3" t="s">
        <v>15</v>
      </c>
      <c r="E52" s="3" t="s">
        <v>17</v>
      </c>
      <c r="F52" s="3" t="s">
        <v>89</v>
      </c>
      <c r="G52" s="3" t="s">
        <v>90</v>
      </c>
      <c r="H52" s="3" t="s">
        <v>90</v>
      </c>
      <c r="I52" s="3" t="s">
        <v>90</v>
      </c>
      <c r="J52" s="3" t="s">
        <v>90</v>
      </c>
      <c r="K52" s="3" t="s">
        <v>16</v>
      </c>
      <c r="L52" s="3" t="s">
        <v>90</v>
      </c>
      <c r="M52" s="3" t="s">
        <v>90</v>
      </c>
      <c r="N52" s="3" t="s">
        <v>90</v>
      </c>
      <c r="O52" s="3" t="s">
        <v>90</v>
      </c>
    </row>
    <row r="53" ht="12.75" customHeight="1">
      <c r="A53" s="10" t="s">
        <v>102</v>
      </c>
      <c r="B53" s="3" t="s">
        <v>90</v>
      </c>
      <c r="C53" s="3" t="s">
        <v>89</v>
      </c>
      <c r="D53" s="3" t="s">
        <v>15</v>
      </c>
      <c r="E53" s="3" t="s">
        <v>17</v>
      </c>
      <c r="F53" s="3" t="s">
        <v>89</v>
      </c>
      <c r="G53" s="3" t="s">
        <v>90</v>
      </c>
      <c r="H53" s="3" t="s">
        <v>90</v>
      </c>
      <c r="I53" s="3" t="s">
        <v>90</v>
      </c>
      <c r="J53" s="3" t="s">
        <v>90</v>
      </c>
      <c r="K53" s="3" t="s">
        <v>16</v>
      </c>
      <c r="L53" s="3" t="s">
        <v>90</v>
      </c>
      <c r="M53" s="3" t="s">
        <v>90</v>
      </c>
      <c r="N53" s="3" t="s">
        <v>90</v>
      </c>
      <c r="O53" s="3" t="s">
        <v>90</v>
      </c>
    </row>
    <row r="54" ht="12.75" customHeight="1">
      <c r="A54" s="10" t="s">
        <v>117</v>
      </c>
      <c r="B54" s="3" t="s">
        <v>90</v>
      </c>
      <c r="C54" s="3" t="s">
        <v>15</v>
      </c>
      <c r="D54" s="3" t="s">
        <v>17</v>
      </c>
      <c r="E54" s="3" t="s">
        <v>89</v>
      </c>
      <c r="F54" s="3" t="s">
        <v>89</v>
      </c>
      <c r="G54" s="3" t="s">
        <v>90</v>
      </c>
      <c r="H54" s="3" t="s">
        <v>90</v>
      </c>
      <c r="I54" s="3" t="s">
        <v>90</v>
      </c>
      <c r="J54" s="3" t="s">
        <v>90</v>
      </c>
      <c r="K54" s="3" t="s">
        <v>16</v>
      </c>
      <c r="L54" s="3" t="s">
        <v>90</v>
      </c>
      <c r="M54" s="3" t="s">
        <v>90</v>
      </c>
      <c r="N54" s="3" t="s">
        <v>90</v>
      </c>
      <c r="O54" s="3" t="s">
        <v>90</v>
      </c>
    </row>
    <row r="55" ht="12.75" customHeight="1">
      <c r="A55" s="10" t="s">
        <v>118</v>
      </c>
      <c r="B55" s="3" t="s">
        <v>16</v>
      </c>
      <c r="C55" s="3" t="s">
        <v>89</v>
      </c>
      <c r="D55" s="3" t="s">
        <v>90</v>
      </c>
      <c r="E55" s="3" t="s">
        <v>89</v>
      </c>
      <c r="F55" s="3" t="s">
        <v>89</v>
      </c>
      <c r="G55" s="3" t="s">
        <v>17</v>
      </c>
      <c r="H55" s="3" t="s">
        <v>90</v>
      </c>
      <c r="I55" s="3" t="s">
        <v>90</v>
      </c>
      <c r="J55" s="3" t="s">
        <v>90</v>
      </c>
      <c r="K55" s="3" t="s">
        <v>15</v>
      </c>
      <c r="L55" s="3" t="s">
        <v>90</v>
      </c>
      <c r="M55" s="3" t="s">
        <v>90</v>
      </c>
      <c r="N55" s="3" t="s">
        <v>90</v>
      </c>
      <c r="O55" s="3" t="s">
        <v>90</v>
      </c>
    </row>
    <row r="56" ht="12.75" customHeight="1">
      <c r="A56" s="3" t="s">
        <v>109</v>
      </c>
      <c r="B56" s="3" t="s">
        <v>16</v>
      </c>
      <c r="C56" s="3" t="s">
        <v>17</v>
      </c>
      <c r="D56" s="3" t="s">
        <v>17</v>
      </c>
      <c r="E56" s="3" t="s">
        <v>15</v>
      </c>
      <c r="F56" s="3" t="s">
        <v>16</v>
      </c>
      <c r="G56" s="3" t="s">
        <v>15</v>
      </c>
      <c r="H56" s="3" t="s">
        <v>15</v>
      </c>
      <c r="I56" s="3" t="s">
        <v>15</v>
      </c>
      <c r="J56" s="3" t="s">
        <v>15</v>
      </c>
      <c r="K56" s="3" t="s">
        <v>90</v>
      </c>
      <c r="L56" s="3" t="s">
        <v>90</v>
      </c>
      <c r="M56" s="3" t="s">
        <v>90</v>
      </c>
      <c r="N56" s="3" t="s">
        <v>90</v>
      </c>
      <c r="O56" s="3" t="s">
        <v>89</v>
      </c>
    </row>
    <row r="57" ht="12.75" customHeight="1">
      <c r="A57" s="8" t="s">
        <v>18</v>
      </c>
      <c r="B57" s="3" t="s">
        <v>89</v>
      </c>
      <c r="C57" s="3" t="s">
        <v>16</v>
      </c>
      <c r="D57" s="3" t="s">
        <v>90</v>
      </c>
      <c r="E57" s="3" t="s">
        <v>16</v>
      </c>
      <c r="F57" s="3" t="s">
        <v>89</v>
      </c>
      <c r="G57" s="3" t="s">
        <v>90</v>
      </c>
      <c r="H57" s="3" t="s">
        <v>90</v>
      </c>
      <c r="I57" s="3" t="s">
        <v>89</v>
      </c>
      <c r="J57" s="3" t="s">
        <v>90</v>
      </c>
      <c r="K57" s="3" t="s">
        <v>89</v>
      </c>
      <c r="L57" s="3" t="s">
        <v>90</v>
      </c>
      <c r="M57" s="3" t="s">
        <v>90</v>
      </c>
      <c r="N57" s="3" t="s">
        <v>90</v>
      </c>
      <c r="O57" s="3" t="s">
        <v>90</v>
      </c>
    </row>
    <row r="58" ht="12.75" customHeight="1">
      <c r="A58" s="10" t="s">
        <v>119</v>
      </c>
      <c r="B58" s="3" t="s">
        <v>90</v>
      </c>
      <c r="C58" s="3" t="s">
        <v>16</v>
      </c>
      <c r="D58" s="3" t="s">
        <v>90</v>
      </c>
      <c r="E58" s="3" t="s">
        <v>15</v>
      </c>
      <c r="F58" s="3" t="s">
        <v>17</v>
      </c>
      <c r="G58" s="3" t="s">
        <v>90</v>
      </c>
      <c r="H58" s="3" t="s">
        <v>90</v>
      </c>
      <c r="I58" s="3" t="s">
        <v>90</v>
      </c>
      <c r="J58" s="3" t="s">
        <v>90</v>
      </c>
      <c r="K58" s="3" t="s">
        <v>90</v>
      </c>
      <c r="L58" s="3" t="s">
        <v>90</v>
      </c>
      <c r="M58" s="3" t="s">
        <v>90</v>
      </c>
      <c r="N58" s="3" t="s">
        <v>90</v>
      </c>
      <c r="O58" s="3" t="s">
        <v>90</v>
      </c>
    </row>
    <row r="59" ht="12.75" customHeight="1">
      <c r="A59" s="3" t="s">
        <v>120</v>
      </c>
      <c r="B59" s="3" t="s">
        <v>15</v>
      </c>
      <c r="C59" s="3" t="s">
        <v>16</v>
      </c>
      <c r="D59" s="3" t="s">
        <v>90</v>
      </c>
      <c r="E59" s="3" t="s">
        <v>15</v>
      </c>
      <c r="F59" s="3" t="s">
        <v>90</v>
      </c>
      <c r="G59" s="3" t="s">
        <v>90</v>
      </c>
      <c r="H59" s="3" t="s">
        <v>90</v>
      </c>
      <c r="I59" s="3" t="s">
        <v>90</v>
      </c>
      <c r="J59" s="3" t="s">
        <v>90</v>
      </c>
      <c r="K59" s="3" t="s">
        <v>90</v>
      </c>
      <c r="L59" s="3" t="s">
        <v>90</v>
      </c>
      <c r="M59" s="3" t="s">
        <v>90</v>
      </c>
      <c r="N59" s="3" t="s">
        <v>90</v>
      </c>
      <c r="O59" s="3" t="s">
        <v>90</v>
      </c>
    </row>
    <row r="60" ht="12.75" customHeight="1">
      <c r="A60" s="3" t="s">
        <v>120</v>
      </c>
      <c r="B60" s="3" t="s">
        <v>17</v>
      </c>
      <c r="C60" s="3" t="s">
        <v>90</v>
      </c>
      <c r="D60" s="3" t="s">
        <v>90</v>
      </c>
      <c r="E60" s="3" t="s">
        <v>90</v>
      </c>
      <c r="F60" s="3" t="s">
        <v>16</v>
      </c>
      <c r="G60" s="3" t="s">
        <v>90</v>
      </c>
      <c r="H60" s="3" t="s">
        <v>90</v>
      </c>
      <c r="I60" s="3" t="s">
        <v>90</v>
      </c>
      <c r="J60" s="3" t="s">
        <v>90</v>
      </c>
      <c r="K60" s="3" t="s">
        <v>15</v>
      </c>
      <c r="L60" s="3" t="s">
        <v>90</v>
      </c>
      <c r="M60" s="3" t="s">
        <v>90</v>
      </c>
      <c r="N60" s="3" t="s">
        <v>90</v>
      </c>
      <c r="O60" s="3" t="s">
        <v>90</v>
      </c>
    </row>
    <row r="61" ht="12.75" customHeight="1">
      <c r="A61" s="3" t="s">
        <v>121</v>
      </c>
      <c r="B61" s="3" t="s">
        <v>15</v>
      </c>
      <c r="C61" s="3" t="s">
        <v>17</v>
      </c>
      <c r="D61" s="3" t="s">
        <v>90</v>
      </c>
      <c r="E61" s="3" t="s">
        <v>89</v>
      </c>
      <c r="F61" s="3" t="s">
        <v>90</v>
      </c>
      <c r="G61" s="3" t="s">
        <v>16</v>
      </c>
      <c r="H61" s="3" t="s">
        <v>90</v>
      </c>
      <c r="I61" s="3" t="s">
        <v>90</v>
      </c>
      <c r="J61" s="3" t="s">
        <v>90</v>
      </c>
      <c r="K61" s="3" t="s">
        <v>90</v>
      </c>
      <c r="L61" s="3" t="s">
        <v>90</v>
      </c>
      <c r="M61" s="3" t="s">
        <v>90</v>
      </c>
      <c r="N61" s="3" t="s">
        <v>90</v>
      </c>
      <c r="O61" s="3" t="s">
        <v>90</v>
      </c>
    </row>
    <row r="62" ht="12.75" customHeight="1">
      <c r="A62" s="3" t="s">
        <v>122</v>
      </c>
      <c r="B62" s="3" t="s">
        <v>15</v>
      </c>
      <c r="C62" s="3" t="s">
        <v>17</v>
      </c>
      <c r="D62" s="3" t="s">
        <v>89</v>
      </c>
      <c r="E62" s="3" t="s">
        <v>90</v>
      </c>
      <c r="F62" s="3" t="s">
        <v>90</v>
      </c>
      <c r="G62" s="3" t="s">
        <v>90</v>
      </c>
      <c r="H62" s="3" t="s">
        <v>90</v>
      </c>
      <c r="I62" s="3" t="s">
        <v>90</v>
      </c>
      <c r="J62" s="3" t="s">
        <v>90</v>
      </c>
      <c r="K62" s="3" t="s">
        <v>16</v>
      </c>
      <c r="L62" s="3" t="s">
        <v>90</v>
      </c>
      <c r="M62" s="3" t="s">
        <v>90</v>
      </c>
      <c r="N62" s="3" t="s">
        <v>90</v>
      </c>
      <c r="O62" s="3" t="s">
        <v>90</v>
      </c>
    </row>
    <row r="63" ht="12.75" customHeight="1">
      <c r="A63" s="9" t="s">
        <v>91</v>
      </c>
      <c r="B63" s="3" t="s">
        <v>16</v>
      </c>
      <c r="C63" s="3" t="s">
        <v>89</v>
      </c>
      <c r="D63" s="3" t="s">
        <v>17</v>
      </c>
      <c r="E63" s="3" t="s">
        <v>15</v>
      </c>
      <c r="F63" s="3" t="s">
        <v>15</v>
      </c>
      <c r="G63" s="3" t="s">
        <v>17</v>
      </c>
      <c r="H63" s="3" t="s">
        <v>90</v>
      </c>
      <c r="I63" s="3" t="s">
        <v>90</v>
      </c>
      <c r="J63" s="3" t="s">
        <v>90</v>
      </c>
      <c r="K63" s="3" t="s">
        <v>89</v>
      </c>
      <c r="L63" s="3" t="s">
        <v>90</v>
      </c>
      <c r="M63" s="3" t="s">
        <v>90</v>
      </c>
      <c r="N63" s="3" t="s">
        <v>90</v>
      </c>
      <c r="O63" s="3" t="s">
        <v>90</v>
      </c>
    </row>
    <row r="64" ht="12.75" customHeight="1">
      <c r="A64" s="3" t="s">
        <v>123</v>
      </c>
      <c r="B64" s="3" t="s">
        <v>90</v>
      </c>
      <c r="C64" s="3" t="s">
        <v>90</v>
      </c>
      <c r="D64" s="3" t="s">
        <v>15</v>
      </c>
      <c r="E64" s="3" t="s">
        <v>90</v>
      </c>
      <c r="F64" s="3" t="s">
        <v>90</v>
      </c>
      <c r="G64" s="3" t="s">
        <v>90</v>
      </c>
      <c r="H64" s="3" t="s">
        <v>15</v>
      </c>
      <c r="I64" s="3" t="s">
        <v>89</v>
      </c>
      <c r="J64" s="3" t="s">
        <v>16</v>
      </c>
      <c r="K64" s="3" t="s">
        <v>90</v>
      </c>
      <c r="L64" s="3" t="s">
        <v>90</v>
      </c>
      <c r="M64" s="3" t="s">
        <v>90</v>
      </c>
      <c r="N64" s="3" t="s">
        <v>90</v>
      </c>
      <c r="O64" s="3" t="s">
        <v>90</v>
      </c>
    </row>
    <row r="65" ht="12.75" customHeight="1">
      <c r="A65" s="3" t="s">
        <v>124</v>
      </c>
      <c r="B65" s="3" t="s">
        <v>89</v>
      </c>
      <c r="C65" s="3" t="s">
        <v>89</v>
      </c>
      <c r="D65" s="3" t="s">
        <v>89</v>
      </c>
      <c r="E65" s="3" t="s">
        <v>89</v>
      </c>
      <c r="F65" s="3" t="s">
        <v>89</v>
      </c>
      <c r="G65" s="3" t="s">
        <v>15</v>
      </c>
      <c r="H65" s="3" t="s">
        <v>89</v>
      </c>
      <c r="I65" s="3" t="s">
        <v>17</v>
      </c>
      <c r="J65" s="3" t="s">
        <v>89</v>
      </c>
      <c r="K65" s="3" t="s">
        <v>90</v>
      </c>
      <c r="L65" s="3" t="s">
        <v>90</v>
      </c>
      <c r="M65" s="3" t="s">
        <v>90</v>
      </c>
      <c r="N65" s="3" t="s">
        <v>90</v>
      </c>
      <c r="O65" s="3" t="s">
        <v>16</v>
      </c>
    </row>
    <row r="66" ht="12.75" customHeight="1">
      <c r="A66" s="3" t="s">
        <v>124</v>
      </c>
      <c r="B66" s="3" t="s">
        <v>89</v>
      </c>
      <c r="C66" s="3" t="s">
        <v>17</v>
      </c>
      <c r="D66" s="3" t="s">
        <v>89</v>
      </c>
      <c r="E66" s="3" t="s">
        <v>89</v>
      </c>
      <c r="F66" s="3" t="s">
        <v>89</v>
      </c>
      <c r="G66" s="3" t="s">
        <v>89</v>
      </c>
      <c r="H66" s="3" t="s">
        <v>15</v>
      </c>
      <c r="I66" s="3" t="s">
        <v>89</v>
      </c>
      <c r="J66" s="3" t="s">
        <v>89</v>
      </c>
      <c r="K66" s="3" t="s">
        <v>90</v>
      </c>
      <c r="L66" s="3" t="s">
        <v>90</v>
      </c>
      <c r="M66" s="3" t="s">
        <v>90</v>
      </c>
      <c r="N66" s="3" t="s">
        <v>90</v>
      </c>
      <c r="O66" s="3" t="s">
        <v>89</v>
      </c>
    </row>
    <row r="67" ht="12.75" customHeight="1">
      <c r="A67" s="3" t="s">
        <v>124</v>
      </c>
      <c r="B67" s="3" t="s">
        <v>15</v>
      </c>
      <c r="C67" s="3" t="s">
        <v>89</v>
      </c>
      <c r="D67" s="3" t="s">
        <v>16</v>
      </c>
      <c r="E67" s="3" t="s">
        <v>16</v>
      </c>
      <c r="F67" s="3" t="s">
        <v>89</v>
      </c>
      <c r="G67" s="3" t="s">
        <v>89</v>
      </c>
      <c r="H67" s="3" t="s">
        <v>89</v>
      </c>
      <c r="I67" s="3" t="s">
        <v>89</v>
      </c>
      <c r="J67" s="3" t="s">
        <v>89</v>
      </c>
      <c r="K67" s="3" t="s">
        <v>90</v>
      </c>
      <c r="L67" s="3" t="s">
        <v>90</v>
      </c>
      <c r="M67" s="3" t="s">
        <v>90</v>
      </c>
      <c r="N67" s="3" t="s">
        <v>90</v>
      </c>
      <c r="O67" s="3" t="s">
        <v>17</v>
      </c>
    </row>
    <row r="68" ht="12.75" customHeight="1">
      <c r="A68" s="3" t="s">
        <v>125</v>
      </c>
      <c r="B68" s="3" t="s">
        <v>15</v>
      </c>
      <c r="C68" s="3" t="s">
        <v>89</v>
      </c>
      <c r="D68" s="3" t="s">
        <v>89</v>
      </c>
      <c r="E68" s="3" t="s">
        <v>89</v>
      </c>
      <c r="F68" s="3" t="s">
        <v>16</v>
      </c>
      <c r="G68" s="3" t="s">
        <v>89</v>
      </c>
      <c r="H68" s="3" t="s">
        <v>89</v>
      </c>
      <c r="I68" s="3" t="s">
        <v>17</v>
      </c>
      <c r="J68" s="3" t="s">
        <v>90</v>
      </c>
      <c r="K68" s="3" t="s">
        <v>90</v>
      </c>
      <c r="L68" s="3" t="s">
        <v>90</v>
      </c>
      <c r="M68" s="3" t="s">
        <v>90</v>
      </c>
      <c r="N68" s="3" t="s">
        <v>90</v>
      </c>
      <c r="O68" s="3" t="s">
        <v>90</v>
      </c>
    </row>
    <row r="69" ht="12.75" customHeight="1">
      <c r="A69" s="3" t="s">
        <v>125</v>
      </c>
      <c r="B69" s="3" t="s">
        <v>90</v>
      </c>
      <c r="C69" s="3" t="s">
        <v>15</v>
      </c>
      <c r="D69" s="3" t="s">
        <v>89</v>
      </c>
      <c r="E69" s="3" t="s">
        <v>89</v>
      </c>
      <c r="F69" s="3" t="s">
        <v>89</v>
      </c>
      <c r="G69" s="3" t="s">
        <v>90</v>
      </c>
      <c r="H69" s="3" t="s">
        <v>16</v>
      </c>
      <c r="I69" s="3" t="s">
        <v>89</v>
      </c>
      <c r="J69" s="3" t="s">
        <v>90</v>
      </c>
      <c r="K69" s="3" t="s">
        <v>90</v>
      </c>
      <c r="L69" s="3" t="s">
        <v>90</v>
      </c>
      <c r="M69" s="3" t="s">
        <v>90</v>
      </c>
      <c r="N69" s="3" t="s">
        <v>90</v>
      </c>
      <c r="O69" s="3" t="s">
        <v>90</v>
      </c>
    </row>
    <row r="70" ht="12.75" customHeight="1">
      <c r="A70" s="3" t="s">
        <v>126</v>
      </c>
      <c r="B70" s="3" t="s">
        <v>16</v>
      </c>
      <c r="C70" s="3" t="s">
        <v>15</v>
      </c>
      <c r="D70" s="3" t="s">
        <v>89</v>
      </c>
      <c r="E70" s="3" t="s">
        <v>89</v>
      </c>
      <c r="F70" s="3" t="s">
        <v>89</v>
      </c>
      <c r="G70" s="3" t="s">
        <v>89</v>
      </c>
      <c r="H70" s="3" t="s">
        <v>17</v>
      </c>
      <c r="I70" s="3" t="s">
        <v>89</v>
      </c>
      <c r="J70" s="3" t="s">
        <v>89</v>
      </c>
      <c r="K70" s="3" t="s">
        <v>90</v>
      </c>
      <c r="L70" s="3" t="s">
        <v>90</v>
      </c>
      <c r="M70" s="3" t="s">
        <v>90</v>
      </c>
      <c r="N70" s="3" t="s">
        <v>90</v>
      </c>
      <c r="O70" s="3" t="s">
        <v>90</v>
      </c>
    </row>
    <row r="71" ht="12.75" customHeight="1">
      <c r="A71" s="3" t="s">
        <v>22</v>
      </c>
      <c r="B71" s="3" t="s">
        <v>89</v>
      </c>
      <c r="C71" s="3" t="s">
        <v>89</v>
      </c>
      <c r="D71" s="3" t="s">
        <v>89</v>
      </c>
      <c r="E71" s="3" t="s">
        <v>89</v>
      </c>
      <c r="F71" s="3" t="s">
        <v>17</v>
      </c>
      <c r="G71" s="3" t="s">
        <v>16</v>
      </c>
      <c r="H71" s="3" t="s">
        <v>89</v>
      </c>
      <c r="I71" s="3" t="s">
        <v>89</v>
      </c>
      <c r="J71" s="3" t="s">
        <v>90</v>
      </c>
      <c r="K71" s="3" t="s">
        <v>90</v>
      </c>
      <c r="L71" s="3" t="s">
        <v>90</v>
      </c>
      <c r="M71" s="3" t="s">
        <v>90</v>
      </c>
      <c r="N71" s="3" t="s">
        <v>90</v>
      </c>
      <c r="O71" s="3" t="s">
        <v>90</v>
      </c>
    </row>
    <row r="72" ht="12.75" customHeight="1">
      <c r="A72" s="3" t="s">
        <v>92</v>
      </c>
      <c r="B72" s="3" t="s">
        <v>89</v>
      </c>
      <c r="C72" s="3" t="s">
        <v>16</v>
      </c>
      <c r="D72" s="3" t="s">
        <v>89</v>
      </c>
      <c r="E72" s="3" t="s">
        <v>15</v>
      </c>
      <c r="F72" s="3" t="s">
        <v>17</v>
      </c>
      <c r="G72" s="3" t="s">
        <v>90</v>
      </c>
      <c r="H72" s="3" t="s">
        <v>90</v>
      </c>
      <c r="I72" s="3" t="s">
        <v>90</v>
      </c>
      <c r="J72" s="3" t="s">
        <v>90</v>
      </c>
      <c r="K72" s="3" t="s">
        <v>90</v>
      </c>
      <c r="L72" s="3" t="s">
        <v>90</v>
      </c>
      <c r="M72" s="3" t="s">
        <v>90</v>
      </c>
      <c r="N72" s="3" t="s">
        <v>90</v>
      </c>
      <c r="O72" s="3" t="s">
        <v>90</v>
      </c>
    </row>
    <row r="73" ht="12.75" customHeight="1">
      <c r="A73" s="9" t="s">
        <v>91</v>
      </c>
      <c r="B73" s="3" t="s">
        <v>15</v>
      </c>
      <c r="C73" s="3" t="s">
        <v>89</v>
      </c>
      <c r="D73" s="3" t="s">
        <v>16</v>
      </c>
      <c r="E73" s="3" t="s">
        <v>17</v>
      </c>
      <c r="F73" s="3" t="s">
        <v>17</v>
      </c>
      <c r="G73" s="3" t="s">
        <v>16</v>
      </c>
      <c r="H73" s="3" t="s">
        <v>90</v>
      </c>
      <c r="I73" s="3" t="s">
        <v>90</v>
      </c>
      <c r="J73" s="3" t="s">
        <v>90</v>
      </c>
      <c r="K73" s="3" t="s">
        <v>90</v>
      </c>
      <c r="L73" s="3" t="s">
        <v>90</v>
      </c>
      <c r="M73" s="3" t="s">
        <v>90</v>
      </c>
      <c r="N73" s="3" t="s">
        <v>90</v>
      </c>
      <c r="O73" s="3" t="s">
        <v>90</v>
      </c>
    </row>
    <row r="74" ht="15.0" customHeight="1">
      <c r="A74" s="3" t="s">
        <v>127</v>
      </c>
      <c r="B74" s="3" t="s">
        <v>89</v>
      </c>
      <c r="C74" s="3" t="s">
        <v>89</v>
      </c>
      <c r="D74" s="3" t="s">
        <v>16</v>
      </c>
      <c r="E74" s="3" t="s">
        <v>16</v>
      </c>
      <c r="F74" s="3" t="s">
        <v>16</v>
      </c>
      <c r="G74" s="3" t="s">
        <v>89</v>
      </c>
      <c r="H74" s="3" t="s">
        <v>89</v>
      </c>
      <c r="I74" s="3" t="s">
        <v>89</v>
      </c>
      <c r="J74" s="3" t="s">
        <v>89</v>
      </c>
      <c r="K74" s="3" t="s">
        <v>90</v>
      </c>
      <c r="L74" s="3" t="s">
        <v>90</v>
      </c>
      <c r="M74" s="3" t="s">
        <v>90</v>
      </c>
      <c r="N74" s="3" t="s">
        <v>90</v>
      </c>
      <c r="O74" s="3" t="s">
        <v>89</v>
      </c>
    </row>
    <row r="75" ht="14.25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4.25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2.75" customHeight="1">
      <c r="A77" s="2" t="s">
        <v>89</v>
      </c>
      <c r="B77" s="3">
        <f t="array" ref="B77">SUM(IF(B2:B76="v",1))</f>
        <v>15</v>
      </c>
      <c r="C77" s="3">
        <f t="array" ref="C77">SUM(IF(C2:C76="v",1))</f>
        <v>27</v>
      </c>
      <c r="D77" s="3">
        <f t="array" ref="D77">SUM(IF(D2:D76="v",1))</f>
        <v>27</v>
      </c>
      <c r="E77" s="3">
        <f t="array" ref="E77">SUM(IF(E2:E76="v",1))</f>
        <v>25</v>
      </c>
      <c r="F77" s="3">
        <f t="array" ref="F77">SUM(IF(F2:F76="v",1))</f>
        <v>28</v>
      </c>
      <c r="G77" s="3">
        <f t="array" ref="G77">SUM(IF(G2:G76="v",1))</f>
        <v>12</v>
      </c>
      <c r="H77" s="3">
        <f t="array" ref="H77">SUM(IF(H2:H76="v",1))</f>
        <v>14</v>
      </c>
      <c r="I77" s="3">
        <f t="array" ref="I77">SUM(IF(I2:I76="v",1))</f>
        <v>16</v>
      </c>
      <c r="J77" s="3">
        <f t="array" ref="J77">SUM(IF(J2:J76="v",1))</f>
        <v>7</v>
      </c>
      <c r="K77" s="3">
        <f t="array" ref="K77">SUM(IF(K2:K76="v",1))</f>
        <v>8</v>
      </c>
      <c r="L77" s="3">
        <f t="array" ref="L77">SUM(IF(L2:L76="v",1))</f>
        <v>2</v>
      </c>
      <c r="M77" s="3">
        <f t="array" ref="M77">SUM(IF(M2:M76="v",1))</f>
        <v>2</v>
      </c>
      <c r="N77" s="3">
        <f t="array" ref="N77">SUM(IF(N2:N76="v",1))</f>
        <v>5</v>
      </c>
      <c r="O77" s="3">
        <f t="array" ref="O77">SUM(IF(O2:O76="v",1))</f>
        <v>4</v>
      </c>
    </row>
    <row r="78" ht="13.5" customHeight="1">
      <c r="A78" s="2" t="s">
        <v>90</v>
      </c>
      <c r="B78" s="3">
        <f t="array" ref="B78">SUM(IF(B2:B76="x",1))</f>
        <v>24</v>
      </c>
      <c r="C78" s="3">
        <f t="array" ref="C78">SUM(IF(C2:C76="x",1))</f>
        <v>6</v>
      </c>
      <c r="D78" s="3">
        <f t="array" ref="D78">SUM(IF(D2:D76="x",1))</f>
        <v>16</v>
      </c>
      <c r="E78" s="3">
        <f t="array" ref="E78">SUM(IF(E2:E76="x",1))</f>
        <v>7</v>
      </c>
      <c r="F78" s="3">
        <f t="array" ref="F78">SUM(IF(F2:F76="x",1))</f>
        <v>8</v>
      </c>
      <c r="G78" s="3">
        <f t="array" ref="G78">SUM(IF(G2:G76="x",1))</f>
        <v>38</v>
      </c>
      <c r="H78" s="3">
        <f t="array" ref="H78">SUM(IF(H2:H76="x",1))</f>
        <v>47</v>
      </c>
      <c r="I78" s="3">
        <f t="array" ref="I78">SUM(IF(I2:I76="x",1))</f>
        <v>45</v>
      </c>
      <c r="J78" s="3">
        <f t="array" ref="J78">SUM(IF(J2:J76="x",1))</f>
        <v>56</v>
      </c>
      <c r="K78" s="3">
        <f t="array" ref="K78">SUM(IF(K2:K76="x",1))</f>
        <v>50</v>
      </c>
      <c r="L78" s="3">
        <f t="array" ref="L78">SUM(IF(L2:L76="x",1))</f>
        <v>71</v>
      </c>
      <c r="M78" s="3">
        <f t="array" ref="M78">SUM(IF(M2:M76="x",1))</f>
        <v>69</v>
      </c>
      <c r="N78" s="3">
        <f t="array" ref="N78">SUM(IF(N2:N76="x",1))</f>
        <v>64</v>
      </c>
      <c r="O78" s="3">
        <f t="array" ref="O78">SUM(IF(O2:O76="x",1))</f>
        <v>67</v>
      </c>
    </row>
    <row r="79" ht="15.0" customHeight="1">
      <c r="A79" s="2" t="s">
        <v>128</v>
      </c>
      <c r="B79" s="3">
        <f t="shared" ref="B79:O79" si="1">B77+B80+B81+B82</f>
        <v>49</v>
      </c>
      <c r="C79" s="3">
        <f t="shared" si="1"/>
        <v>67</v>
      </c>
      <c r="D79" s="3">
        <f t="shared" si="1"/>
        <v>57</v>
      </c>
      <c r="E79" s="3">
        <f t="shared" si="1"/>
        <v>66</v>
      </c>
      <c r="F79" s="3">
        <f t="shared" si="1"/>
        <v>65</v>
      </c>
      <c r="G79" s="3">
        <f t="shared" si="1"/>
        <v>35</v>
      </c>
      <c r="H79" s="3">
        <f t="shared" si="1"/>
        <v>26</v>
      </c>
      <c r="I79" s="3">
        <f t="shared" si="1"/>
        <v>28</v>
      </c>
      <c r="J79" s="3">
        <f t="shared" si="1"/>
        <v>17</v>
      </c>
      <c r="K79" s="3">
        <f t="shared" si="1"/>
        <v>23</v>
      </c>
      <c r="L79" s="3">
        <f t="shared" si="1"/>
        <v>2</v>
      </c>
      <c r="M79" s="3">
        <f t="shared" si="1"/>
        <v>4</v>
      </c>
      <c r="N79" s="3">
        <f t="shared" si="1"/>
        <v>9</v>
      </c>
      <c r="O79" s="3">
        <f t="shared" si="1"/>
        <v>6</v>
      </c>
    </row>
    <row r="80" ht="12.75" customHeight="1">
      <c r="A80" s="2" t="s">
        <v>17</v>
      </c>
      <c r="B80" s="3">
        <f t="array" ref="B80">SUM(IF(B$2:B$76=$A80,1))</f>
        <v>1</v>
      </c>
      <c r="C80" s="3">
        <f t="array" ref="C80">SUM(IF(C$2:C$76=$A80,1))</f>
        <v>9</v>
      </c>
      <c r="D80" s="3">
        <f t="array" ref="D80">SUM(IF(D$2:D$76=$A80,1))</f>
        <v>8</v>
      </c>
      <c r="E80" s="3">
        <f t="array" ref="E80">SUM(IF(E$2:E$76=$A80,1))</f>
        <v>15</v>
      </c>
      <c r="F80" s="3">
        <f t="array" ref="F80">SUM(IF(F$2:F$76=$A80,1))</f>
        <v>13</v>
      </c>
      <c r="G80" s="3">
        <f t="array" ref="G80">SUM(IF(G$2:G$76=$A80,1))</f>
        <v>7</v>
      </c>
      <c r="H80" s="3">
        <f t="array" ref="H80">SUM(IF(H$2:H$76=$A80,1))</f>
        <v>2</v>
      </c>
      <c r="I80" s="3">
        <f t="array" ref="I80">SUM(IF(I$2:I$76=$A80,1))</f>
        <v>3</v>
      </c>
      <c r="J80" s="3">
        <f t="array" ref="J80">SUM(IF(J$2:J$76=$A80,1))</f>
        <v>2</v>
      </c>
      <c r="K80" s="3">
        <f t="array" ref="K80">SUM(IF(K$2:K$76=$A80,1))</f>
        <v>1</v>
      </c>
      <c r="L80" s="3">
        <f t="array" ref="L80">SUM(IF(L$2:L$76=$A80,1))</f>
        <v>0</v>
      </c>
      <c r="M80" s="3">
        <f t="array" ref="M80">SUM(IF(M$2:M$76=$A80,1))</f>
        <v>1</v>
      </c>
      <c r="N80" s="3">
        <f t="array" ref="N80">SUM(IF(N$2:N$76=$A80,1))</f>
        <v>1</v>
      </c>
      <c r="O80" s="3">
        <f t="array" ref="O80">SUM(IF(O$2:O$76=$A80,1))</f>
        <v>1</v>
      </c>
    </row>
    <row r="81" ht="12.75" customHeight="1">
      <c r="A81" s="2" t="s">
        <v>15</v>
      </c>
      <c r="B81" s="3">
        <f t="array" ref="B81">SUM(IF(B$2:B$76=$A81,1))</f>
        <v>15</v>
      </c>
      <c r="C81" s="3">
        <f t="array" ref="C81">SUM(IF(C$2:C$76=$A81,1))</f>
        <v>16</v>
      </c>
      <c r="D81" s="3">
        <f t="array" ref="D81">SUM(IF(D$2:D$76=$A81,1))</f>
        <v>7</v>
      </c>
      <c r="E81" s="3">
        <f t="array" ref="E81">SUM(IF(E$2:E$76=$A81,1))</f>
        <v>9</v>
      </c>
      <c r="F81" s="3">
        <f t="array" ref="F81">SUM(IF(F$2:F$76=$A81,1))</f>
        <v>7</v>
      </c>
      <c r="G81" s="3">
        <f t="array" ref="G81">SUM(IF(G$2:G$76=$A81,1))</f>
        <v>4</v>
      </c>
      <c r="H81" s="3">
        <f t="array" ref="H81">SUM(IF(H$2:H$76=$A81,1))</f>
        <v>8</v>
      </c>
      <c r="I81" s="3">
        <f t="array" ref="I81">SUM(IF(I$2:I$76=$A81,1))</f>
        <v>3</v>
      </c>
      <c r="J81" s="3">
        <f t="array" ref="J81">SUM(IF(J$2:J$76=$A81,1))</f>
        <v>2</v>
      </c>
      <c r="K81" s="3">
        <f t="array" ref="K81">SUM(IF(K$2:K$76=$A81,1))</f>
        <v>4</v>
      </c>
      <c r="L81" s="3">
        <f t="array" ref="L81">SUM(IF(L$2:L$76=$A81,1))</f>
        <v>0</v>
      </c>
      <c r="M81" s="3">
        <f t="array" ref="M81">SUM(IF(M$2:M$76=$A81,1))</f>
        <v>1</v>
      </c>
      <c r="N81" s="3">
        <f t="array" ref="N81">SUM(IF(N$2:N$76=$A81,1))</f>
        <v>1</v>
      </c>
      <c r="O81" s="3">
        <f t="array" ref="O81">SUM(IF(O$2:O$76=$A81,1))</f>
        <v>0</v>
      </c>
    </row>
    <row r="82" ht="12.75" customHeight="1">
      <c r="A82" s="2" t="s">
        <v>16</v>
      </c>
      <c r="B82" s="3">
        <f t="array" ref="B82">SUM(IF(B$2:B$76=$A82,1))</f>
        <v>18</v>
      </c>
      <c r="C82" s="3">
        <f t="array" ref="C82">SUM(IF(C$2:C$76=$A82,1))</f>
        <v>15</v>
      </c>
      <c r="D82" s="3">
        <f t="array" ref="D82">SUM(IF(D$2:D$76=$A82,1))</f>
        <v>15</v>
      </c>
      <c r="E82" s="3">
        <f t="array" ref="E82">SUM(IF(E$2:E$76=$A82,1))</f>
        <v>17</v>
      </c>
      <c r="F82" s="3">
        <f t="array" ref="F82">SUM(IF(F$2:F$76=$A82,1))</f>
        <v>17</v>
      </c>
      <c r="G82" s="3">
        <f t="array" ref="G82">SUM(IF(G$2:G$76=$A82,1))</f>
        <v>12</v>
      </c>
      <c r="H82" s="3">
        <f t="array" ref="H82">SUM(IF(H$2:H$76=$A82,1))</f>
        <v>2</v>
      </c>
      <c r="I82" s="3">
        <f t="array" ref="I82">SUM(IF(I$2:I$76=$A82,1))</f>
        <v>6</v>
      </c>
      <c r="J82" s="3">
        <f t="array" ref="J82">SUM(IF(J$2:J$76=$A82,1))</f>
        <v>6</v>
      </c>
      <c r="K82" s="3">
        <f t="array" ref="K82">SUM(IF(K$2:K$76=$A82,1))</f>
        <v>10</v>
      </c>
      <c r="L82" s="3">
        <f t="array" ref="L82">SUM(IF(L$2:L$76=$A82,1))</f>
        <v>0</v>
      </c>
      <c r="M82" s="3">
        <f t="array" ref="M82">SUM(IF(M$2:M$76=$A82,1))</f>
        <v>0</v>
      </c>
      <c r="N82" s="3">
        <f t="array" ref="N82">SUM(IF(N$2:N$76=$A82,1))</f>
        <v>2</v>
      </c>
      <c r="O82" s="3">
        <f t="array" ref="O82">SUM(IF(O$2:O$76=$A82,1))</f>
        <v>1</v>
      </c>
    </row>
    <row r="83" ht="12.75" customHeight="1">
      <c r="A83" s="4" t="s">
        <v>129</v>
      </c>
      <c r="B83" s="4">
        <f t="shared" ref="B83:O83" si="2">B80+B81*2+B82*3</f>
        <v>85</v>
      </c>
      <c r="C83" s="4">
        <f t="shared" si="2"/>
        <v>86</v>
      </c>
      <c r="D83" s="4">
        <f t="shared" si="2"/>
        <v>67</v>
      </c>
      <c r="E83" s="4">
        <f t="shared" si="2"/>
        <v>84</v>
      </c>
      <c r="F83" s="4">
        <f t="shared" si="2"/>
        <v>78</v>
      </c>
      <c r="G83" s="4">
        <f t="shared" si="2"/>
        <v>51</v>
      </c>
      <c r="H83" s="4">
        <f t="shared" si="2"/>
        <v>24</v>
      </c>
      <c r="I83" s="4">
        <f t="shared" si="2"/>
        <v>27</v>
      </c>
      <c r="J83" s="4">
        <f t="shared" si="2"/>
        <v>24</v>
      </c>
      <c r="K83" s="4">
        <f t="shared" si="2"/>
        <v>39</v>
      </c>
      <c r="L83" s="4">
        <f t="shared" si="2"/>
        <v>0</v>
      </c>
      <c r="M83" s="4">
        <f t="shared" si="2"/>
        <v>3</v>
      </c>
      <c r="N83" s="4">
        <f t="shared" si="2"/>
        <v>9</v>
      </c>
      <c r="O83" s="4">
        <f t="shared" si="2"/>
        <v>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2" t="s">
        <v>130</v>
      </c>
      <c r="B84" s="11">
        <f t="shared" ref="B84:O84" si="3">IF(B77+B80+B81+B82&lt;&gt;0,B83/(B77+B80+B81+B82),0)</f>
        <v>1.734693878</v>
      </c>
      <c r="C84" s="11">
        <f t="shared" si="3"/>
        <v>1.28358209</v>
      </c>
      <c r="D84" s="11">
        <f t="shared" si="3"/>
        <v>1.175438596</v>
      </c>
      <c r="E84" s="11">
        <f t="shared" si="3"/>
        <v>1.272727273</v>
      </c>
      <c r="F84" s="11">
        <f t="shared" si="3"/>
        <v>1.2</v>
      </c>
      <c r="G84" s="11">
        <f t="shared" si="3"/>
        <v>1.457142857</v>
      </c>
      <c r="H84" s="11">
        <f t="shared" si="3"/>
        <v>0.9230769231</v>
      </c>
      <c r="I84" s="11">
        <f t="shared" si="3"/>
        <v>0.9642857143</v>
      </c>
      <c r="J84" s="11">
        <f t="shared" si="3"/>
        <v>1.411764706</v>
      </c>
      <c r="K84" s="11">
        <f t="shared" si="3"/>
        <v>1.695652174</v>
      </c>
      <c r="L84" s="11">
        <f t="shared" si="3"/>
        <v>0</v>
      </c>
      <c r="M84" s="11">
        <f t="shared" si="3"/>
        <v>0.75</v>
      </c>
      <c r="N84" s="11">
        <f t="shared" si="3"/>
        <v>1</v>
      </c>
      <c r="O84" s="11">
        <f t="shared" si="3"/>
        <v>0.6666666667</v>
      </c>
    </row>
    <row r="85" ht="13.5" customHeight="1">
      <c r="A85" s="2" t="s">
        <v>131</v>
      </c>
      <c r="B85" s="3">
        <f t="shared" ref="B85:O85" si="4">B79+B78</f>
        <v>73</v>
      </c>
      <c r="C85" s="3">
        <f t="shared" si="4"/>
        <v>73</v>
      </c>
      <c r="D85" s="3">
        <f t="shared" si="4"/>
        <v>73</v>
      </c>
      <c r="E85" s="3">
        <f t="shared" si="4"/>
        <v>73</v>
      </c>
      <c r="F85" s="3">
        <f t="shared" si="4"/>
        <v>73</v>
      </c>
      <c r="G85" s="3">
        <f t="shared" si="4"/>
        <v>73</v>
      </c>
      <c r="H85" s="3">
        <f t="shared" si="4"/>
        <v>73</v>
      </c>
      <c r="I85" s="3">
        <f t="shared" si="4"/>
        <v>73</v>
      </c>
      <c r="J85" s="3">
        <f t="shared" si="4"/>
        <v>73</v>
      </c>
      <c r="K85" s="3">
        <f t="shared" si="4"/>
        <v>73</v>
      </c>
      <c r="L85" s="3">
        <f t="shared" si="4"/>
        <v>73</v>
      </c>
      <c r="M85" s="3">
        <f t="shared" si="4"/>
        <v>73</v>
      </c>
      <c r="N85" s="3">
        <f t="shared" si="4"/>
        <v>73</v>
      </c>
      <c r="O85" s="3">
        <f t="shared" si="4"/>
        <v>73</v>
      </c>
    </row>
    <row r="86" ht="12.75" customHeight="1"/>
    <row r="87" ht="12.75" customHeight="1">
      <c r="A87" s="2" t="s">
        <v>132</v>
      </c>
      <c r="B87" s="3">
        <f>B83+G83+H83+I83</f>
        <v>187</v>
      </c>
      <c r="D87" s="2" t="s">
        <v>133</v>
      </c>
      <c r="E87" s="3">
        <f>B83+G83</f>
        <v>136</v>
      </c>
      <c r="G87" s="2" t="s">
        <v>134</v>
      </c>
      <c r="H87" s="2" t="s">
        <v>135</v>
      </c>
      <c r="I87" s="12">
        <f>B79+G79+H79+I79</f>
        <v>138</v>
      </c>
      <c r="K87" s="11">
        <f t="shared" ref="K87:K89" si="5">B87/I87</f>
        <v>1.355072464</v>
      </c>
      <c r="L87" s="3">
        <f>I83+J83</f>
        <v>51</v>
      </c>
      <c r="O87" s="2" t="s">
        <v>136</v>
      </c>
    </row>
    <row r="88" ht="12.75" customHeight="1">
      <c r="A88" s="2" t="s">
        <v>137</v>
      </c>
      <c r="B88" s="3">
        <f>C83+E83+L83+M83</f>
        <v>173</v>
      </c>
      <c r="D88" s="2" t="s">
        <v>138</v>
      </c>
      <c r="E88" s="3">
        <f>L83+M83</f>
        <v>3</v>
      </c>
      <c r="G88" s="2" t="s">
        <v>139</v>
      </c>
      <c r="H88" s="2" t="s">
        <v>135</v>
      </c>
      <c r="I88" s="12">
        <f>C79+E79+L79+H79</f>
        <v>161</v>
      </c>
      <c r="K88" s="11">
        <f t="shared" si="5"/>
        <v>1.074534161</v>
      </c>
      <c r="L88" s="3">
        <f>C83+E83+H83</f>
        <v>194</v>
      </c>
      <c r="O88" s="2" t="s">
        <v>136</v>
      </c>
    </row>
    <row r="89" ht="12.75" customHeight="1">
      <c r="A89" s="2" t="s">
        <v>140</v>
      </c>
      <c r="B89" s="3">
        <f>D83+F83+O83+K83</f>
        <v>188</v>
      </c>
      <c r="D89" s="2" t="s">
        <v>141</v>
      </c>
      <c r="E89" s="3">
        <f>K83+N83</f>
        <v>48</v>
      </c>
      <c r="G89" s="2" t="s">
        <v>142</v>
      </c>
      <c r="H89" s="2" t="s">
        <v>135</v>
      </c>
      <c r="I89" s="12">
        <f>D79+F79+K79+N79</f>
        <v>154</v>
      </c>
      <c r="K89" s="11">
        <f t="shared" si="5"/>
        <v>1.220779221</v>
      </c>
      <c r="L89" s="3">
        <f>D83+F83</f>
        <v>145</v>
      </c>
      <c r="O89" s="2" t="s">
        <v>136</v>
      </c>
    </row>
    <row r="90" ht="12.75" customHeight="1"/>
    <row r="91" ht="12.75" customHeight="1">
      <c r="A91" s="2" t="s">
        <v>143</v>
      </c>
      <c r="B91" s="3">
        <f>C83+D83+E83+F83+M83+H83+B92</f>
        <v>545</v>
      </c>
    </row>
    <row r="92" ht="12.75" customHeight="1">
      <c r="A92" s="2" t="s">
        <v>144</v>
      </c>
      <c r="B92" s="3">
        <f>B83+G83+L83+J83+O83+K83</f>
        <v>203</v>
      </c>
    </row>
    <row r="93" ht="12.75" customHeight="1"/>
    <row r="94" ht="12.75" customHeight="1">
      <c r="A94" s="5" t="s">
        <v>145</v>
      </c>
      <c r="B94" s="5" t="s">
        <v>1</v>
      </c>
    </row>
    <row r="95" ht="12.75" customHeight="1"/>
    <row r="96" ht="12.75" customHeight="1">
      <c r="A96" s="2" t="s">
        <v>146</v>
      </c>
      <c r="B96" s="2">
        <v>1.0</v>
      </c>
      <c r="C96" s="2">
        <v>1.0</v>
      </c>
      <c r="D96" s="2">
        <v>0.0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</row>
    <row r="97" ht="12.75" customHeight="1"/>
    <row r="98" ht="12.75" customHeight="1"/>
    <row r="99" ht="12.75" customHeight="1"/>
    <row r="100" ht="12.75" customHeight="1"/>
    <row r="101" ht="12.75" customHeight="1">
      <c r="B101" s="2" t="s">
        <v>147</v>
      </c>
    </row>
    <row r="102" ht="12.75" customHeight="1">
      <c r="B102" s="2" t="s">
        <v>148</v>
      </c>
    </row>
    <row r="103" ht="12.75" customHeight="1">
      <c r="B103" s="2" t="s">
        <v>149</v>
      </c>
    </row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74"/>
  <conditionalFormatting sqref="B2:O84 K87:K89">
    <cfRule type="cellIs" dxfId="0" priority="1" stopIfTrue="1" operator="equal">
      <formula>"PLATA"</formula>
    </cfRule>
  </conditionalFormatting>
  <conditionalFormatting sqref="B2:O84 K87:K89">
    <cfRule type="cellIs" dxfId="1" priority="2" stopIfTrue="1" operator="equal">
      <formula>"ORO"</formula>
    </cfRule>
  </conditionalFormatting>
  <conditionalFormatting sqref="B2:O84 K87:K89">
    <cfRule type="cellIs" dxfId="2" priority="3" stopIfTrue="1" operator="equal">
      <formula>"BRONCE"</formula>
    </cfRule>
  </conditionalFormatting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2" width="13.25"/>
    <col customWidth="1" min="3" max="3" width="9.88"/>
    <col customWidth="1" min="4" max="4" width="9.63"/>
    <col customWidth="1" min="5" max="5" width="9.88"/>
    <col customWidth="1" min="6" max="6" width="9.75"/>
    <col customWidth="1" min="7" max="8" width="9.88"/>
    <col customWidth="1" min="9" max="9" width="9.63"/>
    <col customWidth="1" min="10" max="10" width="9.25"/>
    <col customWidth="1" min="11" max="11" width="9.38"/>
    <col customWidth="1" min="12" max="13" width="9.25"/>
    <col customWidth="1" min="14" max="14" width="9.38"/>
    <col customWidth="1" min="15" max="16" width="9.88"/>
    <col customWidth="1" min="17" max="26" width="10.75"/>
  </cols>
  <sheetData>
    <row r="1" ht="12.75" customHeight="1">
      <c r="A1" s="13">
        <v>2011.0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150</v>
      </c>
      <c r="P1" s="2" t="s">
        <v>151</v>
      </c>
    </row>
    <row r="2" ht="12.75" customHeight="1">
      <c r="A2" s="7" t="s">
        <v>29</v>
      </c>
      <c r="B2" s="3" t="s">
        <v>16</v>
      </c>
      <c r="C2" s="3" t="s">
        <v>90</v>
      </c>
      <c r="D2" s="3" t="s">
        <v>15</v>
      </c>
      <c r="E2" s="3" t="s">
        <v>90</v>
      </c>
      <c r="F2" s="3" t="s">
        <v>15</v>
      </c>
      <c r="G2" s="3" t="s">
        <v>15</v>
      </c>
      <c r="H2" s="3" t="s">
        <v>90</v>
      </c>
      <c r="I2" s="3" t="s">
        <v>90</v>
      </c>
      <c r="J2" s="3" t="s">
        <v>90</v>
      </c>
      <c r="K2" s="3" t="s">
        <v>90</v>
      </c>
      <c r="L2" s="3" t="s">
        <v>90</v>
      </c>
      <c r="M2" s="3" t="s">
        <v>90</v>
      </c>
      <c r="N2" s="3" t="s">
        <v>90</v>
      </c>
      <c r="O2" s="3" t="s">
        <v>90</v>
      </c>
      <c r="P2" s="3" t="s">
        <v>90</v>
      </c>
    </row>
    <row r="3" ht="12.75" customHeight="1">
      <c r="A3" s="2" t="s">
        <v>152</v>
      </c>
      <c r="B3" s="3" t="s">
        <v>16</v>
      </c>
      <c r="C3" s="3" t="s">
        <v>90</v>
      </c>
      <c r="D3" s="3" t="s">
        <v>89</v>
      </c>
      <c r="E3" s="3" t="s">
        <v>90</v>
      </c>
      <c r="F3" s="3" t="s">
        <v>17</v>
      </c>
      <c r="G3" s="3" t="s">
        <v>15</v>
      </c>
      <c r="H3" s="3" t="s">
        <v>90</v>
      </c>
      <c r="I3" s="3" t="s">
        <v>15</v>
      </c>
      <c r="J3" s="3" t="s">
        <v>17</v>
      </c>
      <c r="K3" s="3" t="s">
        <v>90</v>
      </c>
      <c r="L3" s="3" t="s">
        <v>90</v>
      </c>
      <c r="M3" s="3" t="s">
        <v>90</v>
      </c>
      <c r="N3" s="3" t="s">
        <v>90</v>
      </c>
      <c r="O3" s="3" t="s">
        <v>90</v>
      </c>
      <c r="P3" s="3" t="s">
        <v>90</v>
      </c>
    </row>
    <row r="4" ht="12.75" customHeight="1">
      <c r="A4" s="2" t="s">
        <v>153</v>
      </c>
      <c r="B4" s="3" t="s">
        <v>90</v>
      </c>
      <c r="C4" s="3" t="s">
        <v>90</v>
      </c>
      <c r="D4" s="3" t="s">
        <v>90</v>
      </c>
      <c r="E4" s="3" t="s">
        <v>90</v>
      </c>
      <c r="F4" s="3" t="s">
        <v>16</v>
      </c>
      <c r="G4" s="3" t="s">
        <v>90</v>
      </c>
      <c r="H4" s="3" t="s">
        <v>90</v>
      </c>
      <c r="I4" s="3" t="s">
        <v>90</v>
      </c>
      <c r="J4" s="3" t="s">
        <v>90</v>
      </c>
      <c r="K4" s="3" t="s">
        <v>90</v>
      </c>
      <c r="L4" s="3" t="s">
        <v>90</v>
      </c>
      <c r="M4" s="3" t="s">
        <v>90</v>
      </c>
      <c r="N4" s="3" t="s">
        <v>90</v>
      </c>
      <c r="O4" s="3" t="s">
        <v>90</v>
      </c>
      <c r="P4" s="3" t="s">
        <v>90</v>
      </c>
    </row>
    <row r="5" ht="12.75" customHeight="1">
      <c r="A5" s="2" t="s">
        <v>153</v>
      </c>
      <c r="B5" s="3" t="s">
        <v>90</v>
      </c>
      <c r="C5" s="3" t="s">
        <v>90</v>
      </c>
      <c r="D5" s="3" t="s">
        <v>90</v>
      </c>
      <c r="E5" s="3" t="s">
        <v>90</v>
      </c>
      <c r="F5" s="3" t="s">
        <v>15</v>
      </c>
      <c r="G5" s="3" t="s">
        <v>90</v>
      </c>
      <c r="H5" s="3" t="s">
        <v>90</v>
      </c>
      <c r="I5" s="3" t="s">
        <v>90</v>
      </c>
      <c r="J5" s="3" t="s">
        <v>90</v>
      </c>
      <c r="K5" s="3" t="s">
        <v>90</v>
      </c>
      <c r="L5" s="3" t="s">
        <v>90</v>
      </c>
      <c r="M5" s="3" t="s">
        <v>90</v>
      </c>
      <c r="N5" s="3" t="s">
        <v>90</v>
      </c>
      <c r="O5" s="3" t="s">
        <v>90</v>
      </c>
      <c r="P5" s="3" t="s">
        <v>90</v>
      </c>
    </row>
    <row r="6" ht="12.75" customHeight="1">
      <c r="A6" s="9" t="s">
        <v>91</v>
      </c>
      <c r="B6" s="3" t="s">
        <v>16</v>
      </c>
      <c r="C6" s="3" t="s">
        <v>90</v>
      </c>
      <c r="D6" s="3" t="s">
        <v>15</v>
      </c>
      <c r="E6" s="3" t="s">
        <v>90</v>
      </c>
      <c r="F6" s="3" t="s">
        <v>17</v>
      </c>
      <c r="G6" s="3" t="s">
        <v>89</v>
      </c>
      <c r="H6" s="3" t="s">
        <v>90</v>
      </c>
      <c r="I6" s="3" t="s">
        <v>90</v>
      </c>
      <c r="J6" s="3" t="s">
        <v>90</v>
      </c>
      <c r="K6" s="3" t="s">
        <v>90</v>
      </c>
      <c r="L6" s="3" t="s">
        <v>90</v>
      </c>
      <c r="M6" s="3" t="s">
        <v>90</v>
      </c>
      <c r="N6" s="3" t="s">
        <v>90</v>
      </c>
      <c r="O6" s="3" t="s">
        <v>17</v>
      </c>
      <c r="P6" s="3" t="s">
        <v>90</v>
      </c>
    </row>
    <row r="7" ht="12.75" customHeight="1">
      <c r="A7" s="2" t="s">
        <v>27</v>
      </c>
      <c r="B7" s="3" t="s">
        <v>16</v>
      </c>
      <c r="C7" s="3" t="s">
        <v>90</v>
      </c>
      <c r="D7" s="3" t="s">
        <v>89</v>
      </c>
      <c r="E7" s="3" t="s">
        <v>90</v>
      </c>
      <c r="F7" s="3" t="s">
        <v>16</v>
      </c>
      <c r="G7" s="3" t="s">
        <v>17</v>
      </c>
      <c r="H7" s="3" t="s">
        <v>90</v>
      </c>
      <c r="I7" s="3" t="s">
        <v>89</v>
      </c>
      <c r="J7" s="3" t="s">
        <v>17</v>
      </c>
      <c r="K7" s="3" t="s">
        <v>90</v>
      </c>
      <c r="L7" s="3" t="s">
        <v>90</v>
      </c>
      <c r="M7" s="3" t="s">
        <v>90</v>
      </c>
      <c r="N7" s="3" t="s">
        <v>90</v>
      </c>
      <c r="O7" s="3" t="s">
        <v>15</v>
      </c>
      <c r="P7" s="3" t="s">
        <v>90</v>
      </c>
    </row>
    <row r="8" ht="12.75" customHeight="1">
      <c r="A8" s="8" t="s">
        <v>18</v>
      </c>
      <c r="B8" s="3" t="s">
        <v>89</v>
      </c>
      <c r="C8" s="3" t="s">
        <v>16</v>
      </c>
      <c r="D8" s="3" t="s">
        <v>89</v>
      </c>
      <c r="E8" s="3" t="s">
        <v>89</v>
      </c>
      <c r="F8" s="3" t="s">
        <v>16</v>
      </c>
      <c r="G8" s="3" t="s">
        <v>16</v>
      </c>
      <c r="H8" s="3" t="s">
        <v>90</v>
      </c>
      <c r="I8" s="3" t="s">
        <v>90</v>
      </c>
      <c r="J8" s="3" t="s">
        <v>16</v>
      </c>
      <c r="K8" s="3" t="s">
        <v>90</v>
      </c>
      <c r="L8" s="3" t="s">
        <v>90</v>
      </c>
      <c r="M8" s="3" t="s">
        <v>90</v>
      </c>
      <c r="N8" s="3" t="s">
        <v>90</v>
      </c>
      <c r="O8" s="3" t="s">
        <v>90</v>
      </c>
      <c r="P8" s="3" t="s">
        <v>90</v>
      </c>
    </row>
    <row r="9" ht="12.75" customHeight="1">
      <c r="A9" s="7">
        <v>-1.0</v>
      </c>
      <c r="B9" s="3" t="s">
        <v>16</v>
      </c>
      <c r="C9" s="3" t="s">
        <v>15</v>
      </c>
      <c r="D9" s="3" t="s">
        <v>89</v>
      </c>
      <c r="E9" s="3" t="s">
        <v>17</v>
      </c>
      <c r="F9" s="3" t="s">
        <v>89</v>
      </c>
      <c r="G9" s="3" t="s">
        <v>90</v>
      </c>
      <c r="H9" s="3" t="s">
        <v>90</v>
      </c>
      <c r="I9" s="3" t="s">
        <v>90</v>
      </c>
      <c r="J9" s="3" t="s">
        <v>90</v>
      </c>
      <c r="K9" s="3" t="s">
        <v>90</v>
      </c>
      <c r="L9" s="3" t="s">
        <v>89</v>
      </c>
      <c r="M9" s="3" t="s">
        <v>90</v>
      </c>
      <c r="N9" s="3" t="s">
        <v>90</v>
      </c>
      <c r="O9" s="3" t="s">
        <v>90</v>
      </c>
      <c r="P9" s="3" t="s">
        <v>90</v>
      </c>
    </row>
    <row r="10" ht="12.75" customHeight="1">
      <c r="A10" s="9" t="s">
        <v>91</v>
      </c>
      <c r="B10" s="3" t="s">
        <v>17</v>
      </c>
      <c r="C10" s="3" t="s">
        <v>17</v>
      </c>
      <c r="D10" s="3" t="s">
        <v>89</v>
      </c>
      <c r="E10" s="3" t="s">
        <v>17</v>
      </c>
      <c r="F10" s="3" t="s">
        <v>15</v>
      </c>
      <c r="G10" s="3" t="s">
        <v>16</v>
      </c>
      <c r="H10" s="3" t="s">
        <v>90</v>
      </c>
      <c r="I10" s="3" t="s">
        <v>90</v>
      </c>
      <c r="J10" s="3" t="s">
        <v>90</v>
      </c>
      <c r="K10" s="3" t="s">
        <v>90</v>
      </c>
      <c r="L10" s="3" t="s">
        <v>90</v>
      </c>
      <c r="M10" s="3" t="s">
        <v>90</v>
      </c>
      <c r="N10" s="3" t="s">
        <v>90</v>
      </c>
      <c r="O10" s="3" t="s">
        <v>90</v>
      </c>
      <c r="P10" s="3" t="s">
        <v>90</v>
      </c>
    </row>
    <row r="11" ht="12.75" customHeight="1">
      <c r="A11" s="3" t="s">
        <v>154</v>
      </c>
      <c r="B11" s="3" t="s">
        <v>90</v>
      </c>
      <c r="C11" s="3" t="s">
        <v>16</v>
      </c>
      <c r="D11" s="3" t="s">
        <v>90</v>
      </c>
      <c r="E11" s="3" t="s">
        <v>17</v>
      </c>
      <c r="F11" s="3" t="s">
        <v>15</v>
      </c>
      <c r="G11" s="3" t="s">
        <v>89</v>
      </c>
      <c r="H11" s="3" t="s">
        <v>90</v>
      </c>
      <c r="I11" s="3" t="s">
        <v>90</v>
      </c>
      <c r="J11" s="3" t="s">
        <v>90</v>
      </c>
      <c r="K11" s="3" t="s">
        <v>90</v>
      </c>
      <c r="L11" s="3" t="s">
        <v>90</v>
      </c>
      <c r="M11" s="3" t="s">
        <v>90</v>
      </c>
      <c r="N11" s="3" t="s">
        <v>90</v>
      </c>
      <c r="O11" s="3" t="s">
        <v>90</v>
      </c>
      <c r="P11" s="3" t="s">
        <v>90</v>
      </c>
    </row>
    <row r="12" ht="12.75" customHeight="1">
      <c r="A12" s="3" t="s">
        <v>23</v>
      </c>
      <c r="B12" s="3" t="s">
        <v>16</v>
      </c>
      <c r="C12" s="3" t="s">
        <v>17</v>
      </c>
      <c r="D12" s="3" t="s">
        <v>15</v>
      </c>
      <c r="E12" s="3" t="s">
        <v>16</v>
      </c>
      <c r="F12" s="3" t="s">
        <v>17</v>
      </c>
      <c r="G12" s="3" t="s">
        <v>15</v>
      </c>
      <c r="H12" s="3" t="s">
        <v>90</v>
      </c>
      <c r="I12" s="3" t="s">
        <v>90</v>
      </c>
      <c r="J12" s="3" t="s">
        <v>90</v>
      </c>
      <c r="K12" s="3" t="s">
        <v>90</v>
      </c>
      <c r="L12" s="3" t="s">
        <v>90</v>
      </c>
      <c r="M12" s="3" t="s">
        <v>90</v>
      </c>
      <c r="N12" s="3" t="s">
        <v>90</v>
      </c>
      <c r="O12" s="3" t="s">
        <v>90</v>
      </c>
      <c r="P12" s="3" t="s">
        <v>90</v>
      </c>
    </row>
    <row r="13" ht="12.75" customHeight="1">
      <c r="A13" s="3" t="s">
        <v>155</v>
      </c>
      <c r="B13" s="3" t="s">
        <v>90</v>
      </c>
      <c r="C13" s="3" t="s">
        <v>90</v>
      </c>
      <c r="D13" s="3" t="s">
        <v>90</v>
      </c>
      <c r="E13" s="3" t="s">
        <v>90</v>
      </c>
      <c r="F13" s="3" t="s">
        <v>90</v>
      </c>
      <c r="G13" s="3" t="s">
        <v>90</v>
      </c>
      <c r="H13" s="3" t="s">
        <v>90</v>
      </c>
      <c r="I13" s="3" t="s">
        <v>16</v>
      </c>
      <c r="J13" s="3" t="s">
        <v>15</v>
      </c>
      <c r="K13" s="3" t="s">
        <v>90</v>
      </c>
      <c r="L13" s="3" t="s">
        <v>90</v>
      </c>
      <c r="M13" s="3" t="s">
        <v>90</v>
      </c>
      <c r="N13" s="3" t="s">
        <v>90</v>
      </c>
      <c r="O13" s="3" t="s">
        <v>90</v>
      </c>
      <c r="P13" s="3" t="s">
        <v>90</v>
      </c>
    </row>
    <row r="14" ht="12.75" customHeight="1">
      <c r="A14" s="3" t="s">
        <v>156</v>
      </c>
      <c r="B14" s="3" t="s">
        <v>16</v>
      </c>
      <c r="C14" s="3" t="s">
        <v>15</v>
      </c>
      <c r="D14" s="3" t="s">
        <v>89</v>
      </c>
      <c r="E14" s="3" t="s">
        <v>89</v>
      </c>
      <c r="F14" s="3" t="s">
        <v>89</v>
      </c>
      <c r="G14" s="3" t="s">
        <v>17</v>
      </c>
      <c r="H14" s="3" t="s">
        <v>90</v>
      </c>
      <c r="I14" s="3" t="s">
        <v>90</v>
      </c>
      <c r="J14" s="3" t="s">
        <v>90</v>
      </c>
      <c r="K14" s="3" t="s">
        <v>90</v>
      </c>
      <c r="L14" s="3" t="s">
        <v>90</v>
      </c>
      <c r="M14" s="3" t="s">
        <v>90</v>
      </c>
      <c r="N14" s="3" t="s">
        <v>90</v>
      </c>
      <c r="O14" s="3" t="s">
        <v>90</v>
      </c>
      <c r="P14" s="3" t="s">
        <v>90</v>
      </c>
    </row>
    <row r="15" ht="12.75" customHeight="1">
      <c r="A15" s="3" t="s">
        <v>154</v>
      </c>
      <c r="B15" s="3" t="s">
        <v>16</v>
      </c>
      <c r="C15" s="3" t="s">
        <v>15</v>
      </c>
      <c r="D15" s="3" t="s">
        <v>90</v>
      </c>
      <c r="E15" s="3" t="s">
        <v>89</v>
      </c>
      <c r="F15" s="3" t="s">
        <v>17</v>
      </c>
      <c r="G15" s="3" t="s">
        <v>90</v>
      </c>
      <c r="H15" s="3" t="s">
        <v>90</v>
      </c>
      <c r="I15" s="3" t="s">
        <v>90</v>
      </c>
      <c r="J15" s="3" t="s">
        <v>90</v>
      </c>
      <c r="K15" s="3" t="s">
        <v>90</v>
      </c>
      <c r="L15" s="3" t="s">
        <v>90</v>
      </c>
      <c r="M15" s="3" t="s">
        <v>90</v>
      </c>
      <c r="N15" s="3" t="s">
        <v>90</v>
      </c>
      <c r="O15" s="3" t="s">
        <v>90</v>
      </c>
      <c r="P15" s="3" t="s">
        <v>90</v>
      </c>
    </row>
    <row r="16" ht="12.75" customHeight="1">
      <c r="A16" s="3" t="s">
        <v>157</v>
      </c>
      <c r="B16" s="3" t="s">
        <v>90</v>
      </c>
      <c r="C16" s="3" t="s">
        <v>17</v>
      </c>
      <c r="D16" s="3" t="s">
        <v>90</v>
      </c>
      <c r="E16" s="3" t="s">
        <v>90</v>
      </c>
      <c r="F16" s="3" t="s">
        <v>90</v>
      </c>
      <c r="G16" s="3" t="s">
        <v>90</v>
      </c>
      <c r="H16" s="3" t="s">
        <v>90</v>
      </c>
      <c r="I16" s="3" t="s">
        <v>90</v>
      </c>
      <c r="J16" s="3" t="s">
        <v>90</v>
      </c>
      <c r="K16" s="3" t="s">
        <v>90</v>
      </c>
      <c r="L16" s="3" t="s">
        <v>90</v>
      </c>
      <c r="M16" s="3" t="s">
        <v>90</v>
      </c>
      <c r="N16" s="3" t="s">
        <v>90</v>
      </c>
      <c r="O16" s="3" t="s">
        <v>90</v>
      </c>
      <c r="P16" s="3" t="s">
        <v>90</v>
      </c>
    </row>
    <row r="17" ht="12.75" customHeight="1">
      <c r="A17" s="3" t="s">
        <v>158</v>
      </c>
      <c r="B17" s="3" t="s">
        <v>90</v>
      </c>
      <c r="C17" s="3" t="s">
        <v>89</v>
      </c>
      <c r="D17" s="3" t="s">
        <v>16</v>
      </c>
      <c r="E17" s="3" t="s">
        <v>17</v>
      </c>
      <c r="F17" s="3" t="s">
        <v>15</v>
      </c>
      <c r="G17" s="3" t="s">
        <v>90</v>
      </c>
      <c r="H17" s="3" t="s">
        <v>90</v>
      </c>
      <c r="I17" s="3" t="s">
        <v>90</v>
      </c>
      <c r="J17" s="3" t="s">
        <v>90</v>
      </c>
      <c r="K17" s="3" t="s">
        <v>90</v>
      </c>
      <c r="L17" s="3" t="s">
        <v>90</v>
      </c>
      <c r="M17" s="3" t="s">
        <v>90</v>
      </c>
      <c r="N17" s="3" t="s">
        <v>90</v>
      </c>
      <c r="O17" s="3" t="s">
        <v>90</v>
      </c>
      <c r="P17" s="3" t="s">
        <v>90</v>
      </c>
    </row>
    <row r="18" ht="12.75" customHeight="1">
      <c r="A18" s="3" t="s">
        <v>27</v>
      </c>
      <c r="B18" s="3" t="s">
        <v>15</v>
      </c>
      <c r="C18" s="3" t="s">
        <v>89</v>
      </c>
      <c r="D18" s="3" t="s">
        <v>15</v>
      </c>
      <c r="E18" s="3" t="s">
        <v>89</v>
      </c>
      <c r="F18" s="3" t="s">
        <v>15</v>
      </c>
      <c r="G18" s="3" t="s">
        <v>16</v>
      </c>
      <c r="H18" s="3" t="s">
        <v>89</v>
      </c>
      <c r="I18" s="3" t="s">
        <v>89</v>
      </c>
      <c r="J18" s="3" t="s">
        <v>15</v>
      </c>
      <c r="K18" s="3" t="s">
        <v>90</v>
      </c>
      <c r="L18" s="3" t="s">
        <v>90</v>
      </c>
      <c r="M18" s="3" t="s">
        <v>90</v>
      </c>
      <c r="N18" s="3" t="s">
        <v>90</v>
      </c>
      <c r="O18" s="3" t="s">
        <v>16</v>
      </c>
      <c r="P18" s="3" t="s">
        <v>90</v>
      </c>
    </row>
    <row r="19" ht="12.75" customHeight="1">
      <c r="A19" s="9" t="s">
        <v>91</v>
      </c>
      <c r="B19" s="3" t="s">
        <v>89</v>
      </c>
      <c r="C19" s="3" t="s">
        <v>16</v>
      </c>
      <c r="D19" s="3" t="s">
        <v>89</v>
      </c>
      <c r="E19" s="3" t="s">
        <v>89</v>
      </c>
      <c r="F19" s="3" t="s">
        <v>17</v>
      </c>
      <c r="G19" s="3" t="s">
        <v>15</v>
      </c>
      <c r="H19" s="3" t="s">
        <v>90</v>
      </c>
      <c r="I19" s="3" t="s">
        <v>90</v>
      </c>
      <c r="J19" s="3" t="s">
        <v>90</v>
      </c>
      <c r="K19" s="3" t="s">
        <v>90</v>
      </c>
      <c r="L19" s="3" t="s">
        <v>90</v>
      </c>
      <c r="M19" s="3" t="s">
        <v>90</v>
      </c>
      <c r="N19" s="3" t="s">
        <v>90</v>
      </c>
      <c r="O19" s="3" t="s">
        <v>90</v>
      </c>
      <c r="P19" s="3" t="s">
        <v>90</v>
      </c>
    </row>
    <row r="20" ht="12.75" customHeight="1">
      <c r="A20" s="3" t="s">
        <v>159</v>
      </c>
      <c r="B20" s="3" t="s">
        <v>90</v>
      </c>
      <c r="C20" s="3" t="s">
        <v>90</v>
      </c>
      <c r="D20" s="3" t="s">
        <v>90</v>
      </c>
      <c r="E20" s="3" t="s">
        <v>90</v>
      </c>
      <c r="F20" s="3" t="s">
        <v>90</v>
      </c>
      <c r="G20" s="3" t="s">
        <v>90</v>
      </c>
      <c r="H20" s="3" t="s">
        <v>16</v>
      </c>
      <c r="I20" s="3" t="s">
        <v>15</v>
      </c>
      <c r="J20" s="3" t="s">
        <v>17</v>
      </c>
      <c r="K20" s="3" t="s">
        <v>90</v>
      </c>
      <c r="L20" s="3" t="s">
        <v>90</v>
      </c>
      <c r="M20" s="3" t="s">
        <v>90</v>
      </c>
      <c r="N20" s="3" t="s">
        <v>90</v>
      </c>
      <c r="O20" s="3" t="s">
        <v>90</v>
      </c>
      <c r="P20" s="3" t="s">
        <v>90</v>
      </c>
    </row>
    <row r="21" ht="12.75" customHeight="1">
      <c r="A21" s="3" t="s">
        <v>160</v>
      </c>
      <c r="B21" s="3" t="s">
        <v>16</v>
      </c>
      <c r="C21" s="3" t="s">
        <v>89</v>
      </c>
      <c r="D21" s="3" t="s">
        <v>89</v>
      </c>
      <c r="E21" s="3" t="s">
        <v>89</v>
      </c>
      <c r="F21" s="3" t="s">
        <v>15</v>
      </c>
      <c r="G21" s="3" t="s">
        <v>17</v>
      </c>
      <c r="H21" s="3" t="s">
        <v>90</v>
      </c>
      <c r="I21" s="3" t="s">
        <v>90</v>
      </c>
      <c r="J21" s="3" t="s">
        <v>90</v>
      </c>
      <c r="K21" s="3" t="s">
        <v>90</v>
      </c>
      <c r="L21" s="3" t="s">
        <v>90</v>
      </c>
      <c r="M21" s="3" t="s">
        <v>90</v>
      </c>
      <c r="N21" s="3" t="s">
        <v>90</v>
      </c>
      <c r="O21" s="3" t="s">
        <v>90</v>
      </c>
      <c r="P21" s="3" t="s">
        <v>90</v>
      </c>
    </row>
    <row r="22" ht="12.75" customHeight="1">
      <c r="A22" s="3" t="s">
        <v>31</v>
      </c>
      <c r="B22" s="3" t="s">
        <v>17</v>
      </c>
      <c r="C22" s="3" t="s">
        <v>15</v>
      </c>
      <c r="D22" s="3" t="s">
        <v>15</v>
      </c>
      <c r="E22" s="3" t="s">
        <v>16</v>
      </c>
      <c r="F22" s="3" t="s">
        <v>16</v>
      </c>
      <c r="G22" s="3" t="s">
        <v>17</v>
      </c>
      <c r="H22" s="3" t="s">
        <v>90</v>
      </c>
      <c r="I22" s="3" t="s">
        <v>90</v>
      </c>
      <c r="J22" s="3" t="s">
        <v>90</v>
      </c>
      <c r="K22" s="3" t="s">
        <v>90</v>
      </c>
      <c r="L22" s="3" t="s">
        <v>90</v>
      </c>
      <c r="M22" s="3" t="s">
        <v>90</v>
      </c>
      <c r="N22" s="3" t="s">
        <v>90</v>
      </c>
      <c r="O22" s="3" t="s">
        <v>90</v>
      </c>
      <c r="P22" s="3" t="s">
        <v>90</v>
      </c>
    </row>
    <row r="23" ht="12.75" customHeight="1">
      <c r="A23" s="3" t="s">
        <v>161</v>
      </c>
      <c r="B23" s="3" t="s">
        <v>16</v>
      </c>
      <c r="C23" s="3" t="s">
        <v>89</v>
      </c>
      <c r="D23" s="3" t="s">
        <v>89</v>
      </c>
      <c r="E23" s="3" t="s">
        <v>16</v>
      </c>
      <c r="F23" s="3" t="s">
        <v>89</v>
      </c>
      <c r="G23" s="3" t="s">
        <v>90</v>
      </c>
      <c r="H23" s="3" t="s">
        <v>90</v>
      </c>
      <c r="I23" s="3" t="s">
        <v>90</v>
      </c>
      <c r="J23" s="3" t="s">
        <v>90</v>
      </c>
      <c r="K23" s="3" t="s">
        <v>90</v>
      </c>
      <c r="L23" s="3" t="s">
        <v>90</v>
      </c>
      <c r="M23" s="3" t="s">
        <v>90</v>
      </c>
      <c r="N23" s="3" t="s">
        <v>90</v>
      </c>
      <c r="O23" s="3" t="s">
        <v>90</v>
      </c>
      <c r="P23" s="3" t="s">
        <v>90</v>
      </c>
    </row>
    <row r="24" ht="12.75" customHeight="1">
      <c r="A24" s="3" t="s">
        <v>44</v>
      </c>
      <c r="B24" s="3" t="s">
        <v>90</v>
      </c>
      <c r="C24" s="3" t="s">
        <v>90</v>
      </c>
      <c r="D24" s="3" t="s">
        <v>90</v>
      </c>
      <c r="E24" s="3" t="s">
        <v>90</v>
      </c>
      <c r="F24" s="3" t="s">
        <v>90</v>
      </c>
      <c r="G24" s="3" t="s">
        <v>17</v>
      </c>
      <c r="H24" s="3" t="s">
        <v>16</v>
      </c>
      <c r="I24" s="3" t="s">
        <v>15</v>
      </c>
      <c r="J24" s="3" t="s">
        <v>89</v>
      </c>
      <c r="K24" s="3" t="s">
        <v>90</v>
      </c>
      <c r="L24" s="3" t="s">
        <v>90</v>
      </c>
      <c r="M24" s="3" t="s">
        <v>90</v>
      </c>
      <c r="N24" s="3" t="s">
        <v>90</v>
      </c>
      <c r="O24" s="3" t="s">
        <v>90</v>
      </c>
      <c r="P24" s="3" t="s">
        <v>90</v>
      </c>
    </row>
    <row r="25" ht="12.75" customHeight="1">
      <c r="A25" s="3" t="s">
        <v>44</v>
      </c>
      <c r="B25" s="3" t="s">
        <v>16</v>
      </c>
      <c r="C25" s="3" t="s">
        <v>17</v>
      </c>
      <c r="D25" s="3" t="s">
        <v>15</v>
      </c>
      <c r="E25" s="3" t="s">
        <v>89</v>
      </c>
      <c r="F25" s="3" t="s">
        <v>89</v>
      </c>
      <c r="G25" s="3" t="s">
        <v>90</v>
      </c>
      <c r="H25" s="3" t="s">
        <v>90</v>
      </c>
      <c r="I25" s="3" t="s">
        <v>90</v>
      </c>
      <c r="J25" s="3" t="s">
        <v>90</v>
      </c>
      <c r="K25" s="3" t="s">
        <v>90</v>
      </c>
      <c r="L25" s="3" t="s">
        <v>90</v>
      </c>
      <c r="M25" s="3" t="s">
        <v>90</v>
      </c>
      <c r="N25" s="3" t="s">
        <v>90</v>
      </c>
      <c r="O25" s="3" t="s">
        <v>90</v>
      </c>
      <c r="P25" s="3" t="s">
        <v>90</v>
      </c>
    </row>
    <row r="26" ht="12.75" customHeight="1">
      <c r="A26" s="3" t="s">
        <v>25</v>
      </c>
      <c r="B26" s="3" t="s">
        <v>90</v>
      </c>
      <c r="C26" s="3" t="s">
        <v>17</v>
      </c>
      <c r="D26" s="3" t="s">
        <v>89</v>
      </c>
      <c r="E26" s="3" t="s">
        <v>15</v>
      </c>
      <c r="F26" s="3" t="s">
        <v>16</v>
      </c>
      <c r="G26" s="3" t="s">
        <v>90</v>
      </c>
      <c r="H26" s="3" t="s">
        <v>89</v>
      </c>
      <c r="I26" s="3" t="s">
        <v>89</v>
      </c>
      <c r="J26" s="3" t="s">
        <v>90</v>
      </c>
      <c r="K26" s="3" t="s">
        <v>90</v>
      </c>
      <c r="L26" s="3" t="s">
        <v>90</v>
      </c>
      <c r="M26" s="3" t="s">
        <v>90</v>
      </c>
      <c r="N26" s="3" t="s">
        <v>90</v>
      </c>
      <c r="O26" s="3" t="s">
        <v>90</v>
      </c>
      <c r="P26" s="3" t="s">
        <v>90</v>
      </c>
    </row>
    <row r="27" ht="12.75" customHeight="1">
      <c r="A27" s="3" t="s">
        <v>162</v>
      </c>
      <c r="B27" s="3" t="s">
        <v>89</v>
      </c>
      <c r="C27" s="3" t="s">
        <v>89</v>
      </c>
      <c r="D27" s="3" t="s">
        <v>16</v>
      </c>
      <c r="E27" s="3" t="s">
        <v>16</v>
      </c>
      <c r="F27" s="3" t="s">
        <v>89</v>
      </c>
      <c r="G27" s="3" t="s">
        <v>16</v>
      </c>
      <c r="H27" s="3" t="s">
        <v>90</v>
      </c>
      <c r="I27" s="3" t="s">
        <v>89</v>
      </c>
      <c r="J27" s="3" t="s">
        <v>90</v>
      </c>
      <c r="K27" s="3" t="s">
        <v>89</v>
      </c>
      <c r="L27" s="3" t="s">
        <v>89</v>
      </c>
      <c r="M27" s="3" t="s">
        <v>90</v>
      </c>
      <c r="N27" s="3" t="s">
        <v>89</v>
      </c>
      <c r="O27" s="3" t="s">
        <v>90</v>
      </c>
      <c r="P27" s="3" t="s">
        <v>90</v>
      </c>
    </row>
    <row r="28" ht="12.75" customHeight="1">
      <c r="A28" s="3" t="s">
        <v>33</v>
      </c>
      <c r="B28" s="3" t="s">
        <v>15</v>
      </c>
      <c r="C28" s="3" t="s">
        <v>17</v>
      </c>
      <c r="D28" s="3" t="s">
        <v>17</v>
      </c>
      <c r="E28" s="3" t="s">
        <v>89</v>
      </c>
      <c r="F28" s="3" t="s">
        <v>17</v>
      </c>
      <c r="G28" s="3" t="s">
        <v>90</v>
      </c>
      <c r="H28" s="3" t="s">
        <v>90</v>
      </c>
      <c r="I28" s="3" t="s">
        <v>90</v>
      </c>
      <c r="J28" s="3" t="s">
        <v>90</v>
      </c>
      <c r="K28" s="3" t="s">
        <v>16</v>
      </c>
      <c r="L28" s="3" t="s">
        <v>90</v>
      </c>
      <c r="M28" s="3" t="s">
        <v>90</v>
      </c>
      <c r="N28" s="3" t="s">
        <v>90</v>
      </c>
      <c r="O28" s="3" t="s">
        <v>90</v>
      </c>
      <c r="P28" s="3" t="s">
        <v>90</v>
      </c>
    </row>
    <row r="29" ht="12.75" customHeight="1">
      <c r="A29" s="3" t="s">
        <v>39</v>
      </c>
      <c r="B29" s="3" t="s">
        <v>16</v>
      </c>
      <c r="C29" s="3" t="s">
        <v>89</v>
      </c>
      <c r="D29" s="3" t="s">
        <v>89</v>
      </c>
      <c r="E29" s="3" t="s">
        <v>16</v>
      </c>
      <c r="F29" s="3" t="s">
        <v>89</v>
      </c>
      <c r="G29" s="3" t="s">
        <v>16</v>
      </c>
      <c r="H29" s="3" t="s">
        <v>89</v>
      </c>
      <c r="I29" s="3" t="s">
        <v>16</v>
      </c>
      <c r="J29" s="3" t="s">
        <v>16</v>
      </c>
      <c r="K29" s="3" t="s">
        <v>90</v>
      </c>
      <c r="L29" s="3" t="s">
        <v>90</v>
      </c>
      <c r="M29" s="3" t="s">
        <v>90</v>
      </c>
      <c r="N29" s="3" t="s">
        <v>90</v>
      </c>
      <c r="O29" s="3" t="s">
        <v>90</v>
      </c>
      <c r="P29" s="3" t="s">
        <v>90</v>
      </c>
    </row>
    <row r="30" ht="12.75" customHeight="1">
      <c r="A30" s="9" t="s">
        <v>91</v>
      </c>
      <c r="B30" s="3" t="s">
        <v>15</v>
      </c>
      <c r="C30" s="3" t="s">
        <v>16</v>
      </c>
      <c r="D30" s="3" t="s">
        <v>89</v>
      </c>
      <c r="E30" s="3" t="s">
        <v>89</v>
      </c>
      <c r="F30" s="3" t="s">
        <v>17</v>
      </c>
      <c r="G30" s="3" t="s">
        <v>89</v>
      </c>
      <c r="H30" s="3" t="s">
        <v>90</v>
      </c>
      <c r="I30" s="3" t="s">
        <v>90</v>
      </c>
      <c r="J30" s="3" t="s">
        <v>90</v>
      </c>
      <c r="K30" s="3" t="s">
        <v>17</v>
      </c>
      <c r="L30" s="3" t="s">
        <v>90</v>
      </c>
      <c r="M30" s="3" t="s">
        <v>90</v>
      </c>
      <c r="N30" s="3" t="s">
        <v>90</v>
      </c>
      <c r="O30" s="3" t="s">
        <v>90</v>
      </c>
      <c r="P30" s="3" t="s">
        <v>90</v>
      </c>
    </row>
    <row r="31" ht="12.75" customHeight="1">
      <c r="A31" s="3" t="s">
        <v>163</v>
      </c>
      <c r="B31" s="3" t="s">
        <v>89</v>
      </c>
      <c r="C31" s="3" t="s">
        <v>89</v>
      </c>
      <c r="D31" s="3" t="s">
        <v>17</v>
      </c>
      <c r="E31" s="3" t="s">
        <v>15</v>
      </c>
      <c r="F31" s="3" t="s">
        <v>89</v>
      </c>
      <c r="G31" s="3" t="s">
        <v>16</v>
      </c>
      <c r="H31" s="3" t="s">
        <v>90</v>
      </c>
      <c r="I31" s="3" t="s">
        <v>90</v>
      </c>
      <c r="J31" s="3" t="s">
        <v>16</v>
      </c>
      <c r="K31" s="3" t="s">
        <v>17</v>
      </c>
      <c r="L31" s="3" t="s">
        <v>90</v>
      </c>
      <c r="M31" s="3" t="s">
        <v>90</v>
      </c>
      <c r="N31" s="3" t="s">
        <v>90</v>
      </c>
      <c r="O31" s="3" t="s">
        <v>90</v>
      </c>
      <c r="P31" s="3" t="s">
        <v>90</v>
      </c>
    </row>
    <row r="32" ht="12.75" customHeight="1">
      <c r="A32" s="8" t="s">
        <v>18</v>
      </c>
      <c r="B32" s="3" t="s">
        <v>15</v>
      </c>
      <c r="C32" s="3" t="s">
        <v>89</v>
      </c>
      <c r="D32" s="3" t="s">
        <v>89</v>
      </c>
      <c r="E32" s="3" t="s">
        <v>16</v>
      </c>
      <c r="F32" s="3" t="s">
        <v>89</v>
      </c>
      <c r="G32" s="3" t="s">
        <v>90</v>
      </c>
      <c r="H32" s="3" t="s">
        <v>90</v>
      </c>
      <c r="I32" s="3" t="s">
        <v>90</v>
      </c>
      <c r="J32" s="3" t="s">
        <v>90</v>
      </c>
      <c r="K32" s="3" t="s">
        <v>16</v>
      </c>
      <c r="L32" s="3" t="s">
        <v>90</v>
      </c>
      <c r="M32" s="3" t="s">
        <v>90</v>
      </c>
      <c r="N32" s="3" t="s">
        <v>90</v>
      </c>
      <c r="O32" s="3" t="s">
        <v>90</v>
      </c>
      <c r="P32" s="3" t="s">
        <v>90</v>
      </c>
    </row>
    <row r="33" ht="12.75" customHeight="1">
      <c r="A33" s="3" t="s">
        <v>164</v>
      </c>
      <c r="B33" s="3" t="s">
        <v>90</v>
      </c>
      <c r="C33" s="3" t="s">
        <v>15</v>
      </c>
      <c r="D33" s="3" t="s">
        <v>15</v>
      </c>
      <c r="E33" s="3" t="s">
        <v>90</v>
      </c>
      <c r="F33" s="3" t="s">
        <v>90</v>
      </c>
      <c r="G33" s="3" t="s">
        <v>90</v>
      </c>
      <c r="H33" s="3" t="s">
        <v>15</v>
      </c>
      <c r="I33" s="3" t="s">
        <v>15</v>
      </c>
      <c r="J33" s="3" t="s">
        <v>16</v>
      </c>
      <c r="K33" s="3" t="s">
        <v>90</v>
      </c>
      <c r="L33" s="3" t="s">
        <v>90</v>
      </c>
      <c r="M33" s="3" t="s">
        <v>90</v>
      </c>
      <c r="N33" s="3" t="s">
        <v>90</v>
      </c>
      <c r="O33" s="3" t="s">
        <v>90</v>
      </c>
      <c r="P33" s="3" t="s">
        <v>90</v>
      </c>
    </row>
    <row r="34" ht="12.75" customHeight="1">
      <c r="A34" s="3" t="s">
        <v>165</v>
      </c>
      <c r="B34" s="3" t="s">
        <v>90</v>
      </c>
      <c r="C34" s="3" t="s">
        <v>90</v>
      </c>
      <c r="D34" s="3" t="s">
        <v>90</v>
      </c>
      <c r="E34" s="3" t="s">
        <v>90</v>
      </c>
      <c r="F34" s="3" t="s">
        <v>90</v>
      </c>
      <c r="G34" s="3" t="s">
        <v>90</v>
      </c>
      <c r="H34" s="3" t="s">
        <v>15</v>
      </c>
      <c r="I34" s="3" t="s">
        <v>16</v>
      </c>
      <c r="J34" s="3" t="s">
        <v>16</v>
      </c>
      <c r="K34" s="3" t="s">
        <v>90</v>
      </c>
      <c r="L34" s="3" t="s">
        <v>90</v>
      </c>
      <c r="M34" s="3" t="s">
        <v>90</v>
      </c>
      <c r="N34" s="3" t="s">
        <v>90</v>
      </c>
      <c r="O34" s="3" t="s">
        <v>90</v>
      </c>
      <c r="P34" s="3" t="s">
        <v>90</v>
      </c>
    </row>
    <row r="35" ht="12.75" customHeight="1">
      <c r="A35" s="3" t="s">
        <v>166</v>
      </c>
      <c r="B35" s="3" t="s">
        <v>16</v>
      </c>
      <c r="C35" s="3" t="s">
        <v>17</v>
      </c>
      <c r="D35" s="3" t="s">
        <v>89</v>
      </c>
      <c r="E35" s="3" t="s">
        <v>89</v>
      </c>
      <c r="F35" s="3" t="s">
        <v>89</v>
      </c>
      <c r="G35" s="3" t="s">
        <v>89</v>
      </c>
      <c r="H35" s="3" t="s">
        <v>90</v>
      </c>
      <c r="I35" s="3" t="s">
        <v>90</v>
      </c>
      <c r="J35" s="3" t="s">
        <v>90</v>
      </c>
      <c r="K35" s="3" t="s">
        <v>15</v>
      </c>
      <c r="L35" s="3" t="s">
        <v>90</v>
      </c>
      <c r="M35" s="3" t="s">
        <v>90</v>
      </c>
      <c r="N35" s="3" t="s">
        <v>90</v>
      </c>
      <c r="O35" s="3" t="s">
        <v>90</v>
      </c>
      <c r="P35" s="3" t="s">
        <v>90</v>
      </c>
    </row>
    <row r="36" ht="12.75" customHeight="1">
      <c r="A36" s="3" t="s">
        <v>167</v>
      </c>
      <c r="B36" s="3" t="s">
        <v>16</v>
      </c>
      <c r="C36" s="3" t="s">
        <v>89</v>
      </c>
      <c r="D36" s="3" t="s">
        <v>89</v>
      </c>
      <c r="E36" s="3" t="s">
        <v>16</v>
      </c>
      <c r="F36" s="3" t="s">
        <v>89</v>
      </c>
      <c r="G36" s="3" t="s">
        <v>90</v>
      </c>
      <c r="H36" s="3" t="s">
        <v>90</v>
      </c>
      <c r="I36" s="3" t="s">
        <v>90</v>
      </c>
      <c r="J36" s="3" t="s">
        <v>90</v>
      </c>
      <c r="K36" s="3" t="s">
        <v>89</v>
      </c>
      <c r="L36" s="3" t="s">
        <v>90</v>
      </c>
      <c r="M36" s="3" t="s">
        <v>90</v>
      </c>
      <c r="N36" s="3" t="s">
        <v>90</v>
      </c>
      <c r="O36" s="3" t="s">
        <v>90</v>
      </c>
      <c r="P36" s="3" t="s">
        <v>90</v>
      </c>
    </row>
    <row r="37" ht="12.75" customHeight="1">
      <c r="A37" s="3" t="s">
        <v>168</v>
      </c>
      <c r="B37" s="3" t="s">
        <v>15</v>
      </c>
      <c r="C37" s="3" t="s">
        <v>89</v>
      </c>
      <c r="D37" s="3" t="s">
        <v>89</v>
      </c>
      <c r="E37" s="3" t="s">
        <v>16</v>
      </c>
      <c r="F37" s="3" t="s">
        <v>89</v>
      </c>
      <c r="G37" s="3" t="s">
        <v>90</v>
      </c>
      <c r="H37" s="3" t="s">
        <v>90</v>
      </c>
      <c r="I37" s="3" t="s">
        <v>89</v>
      </c>
      <c r="J37" s="3" t="s">
        <v>90</v>
      </c>
      <c r="K37" s="3" t="s">
        <v>17</v>
      </c>
      <c r="L37" s="3" t="s">
        <v>90</v>
      </c>
      <c r="M37" s="3" t="s">
        <v>90</v>
      </c>
      <c r="N37" s="3" t="s">
        <v>90</v>
      </c>
      <c r="O37" s="3" t="s">
        <v>90</v>
      </c>
      <c r="P37" s="3" t="s">
        <v>90</v>
      </c>
    </row>
    <row r="38" ht="12.75" customHeight="1">
      <c r="A38" s="3" t="s">
        <v>169</v>
      </c>
      <c r="B38" s="3" t="s">
        <v>16</v>
      </c>
      <c r="C38" s="3" t="s">
        <v>17</v>
      </c>
      <c r="D38" s="3" t="s">
        <v>89</v>
      </c>
      <c r="E38" s="3" t="s">
        <v>89</v>
      </c>
      <c r="F38" s="3" t="s">
        <v>89</v>
      </c>
      <c r="G38" s="3" t="s">
        <v>90</v>
      </c>
      <c r="H38" s="3" t="s">
        <v>90</v>
      </c>
      <c r="I38" s="3" t="s">
        <v>90</v>
      </c>
      <c r="J38" s="3" t="s">
        <v>90</v>
      </c>
      <c r="K38" s="3" t="s">
        <v>15</v>
      </c>
      <c r="L38" s="3" t="s">
        <v>90</v>
      </c>
      <c r="M38" s="3" t="s">
        <v>90</v>
      </c>
      <c r="N38" s="3" t="s">
        <v>90</v>
      </c>
      <c r="O38" s="3" t="s">
        <v>90</v>
      </c>
      <c r="P38" s="3" t="s">
        <v>90</v>
      </c>
    </row>
    <row r="39" ht="12.75" customHeight="1">
      <c r="A39" s="3" t="s">
        <v>170</v>
      </c>
      <c r="B39" s="3" t="s">
        <v>16</v>
      </c>
      <c r="C39" s="3" t="s">
        <v>89</v>
      </c>
      <c r="D39" s="3" t="s">
        <v>89</v>
      </c>
      <c r="E39" s="3" t="s">
        <v>89</v>
      </c>
      <c r="F39" s="3" t="s">
        <v>15</v>
      </c>
      <c r="G39" s="3" t="s">
        <v>90</v>
      </c>
      <c r="H39" s="3" t="s">
        <v>90</v>
      </c>
      <c r="I39" s="3" t="s">
        <v>90</v>
      </c>
      <c r="J39" s="3" t="s">
        <v>90</v>
      </c>
      <c r="K39" s="3" t="s">
        <v>89</v>
      </c>
      <c r="L39" s="3" t="s">
        <v>90</v>
      </c>
      <c r="M39" s="3" t="s">
        <v>90</v>
      </c>
      <c r="N39" s="3" t="s">
        <v>90</v>
      </c>
      <c r="O39" s="3" t="s">
        <v>90</v>
      </c>
      <c r="P39" s="3" t="s">
        <v>90</v>
      </c>
    </row>
    <row r="40" ht="12.75" customHeight="1">
      <c r="A40" s="3" t="s">
        <v>92</v>
      </c>
      <c r="B40" s="3" t="s">
        <v>90</v>
      </c>
      <c r="C40" s="3" t="s">
        <v>16</v>
      </c>
      <c r="D40" s="3" t="s">
        <v>15</v>
      </c>
      <c r="E40" s="3" t="s">
        <v>17</v>
      </c>
      <c r="F40" s="3" t="s">
        <v>17</v>
      </c>
      <c r="G40" s="3" t="s">
        <v>90</v>
      </c>
      <c r="H40" s="3" t="s">
        <v>89</v>
      </c>
      <c r="I40" s="3" t="s">
        <v>90</v>
      </c>
      <c r="J40" s="3" t="s">
        <v>89</v>
      </c>
      <c r="K40" s="3" t="s">
        <v>90</v>
      </c>
      <c r="L40" s="3" t="s">
        <v>90</v>
      </c>
      <c r="M40" s="3" t="s">
        <v>90</v>
      </c>
      <c r="N40" s="3" t="s">
        <v>90</v>
      </c>
      <c r="O40" s="3" t="s">
        <v>90</v>
      </c>
      <c r="P40" s="3" t="s">
        <v>90</v>
      </c>
    </row>
    <row r="41" ht="12.75" customHeight="1">
      <c r="A41" s="9" t="s">
        <v>91</v>
      </c>
      <c r="B41" s="3" t="s">
        <v>15</v>
      </c>
      <c r="C41" s="3" t="s">
        <v>17</v>
      </c>
      <c r="D41" s="3" t="s">
        <v>89</v>
      </c>
      <c r="E41" s="3" t="s">
        <v>16</v>
      </c>
      <c r="F41" s="3" t="s">
        <v>89</v>
      </c>
      <c r="G41" s="3" t="s">
        <v>15</v>
      </c>
      <c r="H41" s="3" t="s">
        <v>90</v>
      </c>
      <c r="I41" s="3" t="s">
        <v>90</v>
      </c>
      <c r="J41" s="3" t="s">
        <v>90</v>
      </c>
      <c r="K41" s="3" t="s">
        <v>17</v>
      </c>
      <c r="L41" s="3" t="s">
        <v>90</v>
      </c>
      <c r="M41" s="3" t="s">
        <v>90</v>
      </c>
      <c r="N41" s="3" t="s">
        <v>90</v>
      </c>
      <c r="O41" s="3" t="s">
        <v>90</v>
      </c>
      <c r="P41" s="3" t="s">
        <v>90</v>
      </c>
    </row>
    <row r="42" ht="12.75" customHeight="1">
      <c r="A42" s="3" t="s">
        <v>23</v>
      </c>
      <c r="B42" s="3" t="s">
        <v>17</v>
      </c>
      <c r="C42" s="3" t="s">
        <v>89</v>
      </c>
      <c r="D42" s="3" t="s">
        <v>16</v>
      </c>
      <c r="E42" s="3" t="s">
        <v>17</v>
      </c>
      <c r="F42" s="3" t="s">
        <v>15</v>
      </c>
      <c r="G42" s="3" t="s">
        <v>16</v>
      </c>
      <c r="H42" s="3" t="s">
        <v>90</v>
      </c>
      <c r="I42" s="3" t="s">
        <v>90</v>
      </c>
      <c r="J42" s="3" t="s">
        <v>90</v>
      </c>
      <c r="K42" s="3" t="s">
        <v>15</v>
      </c>
      <c r="L42" s="3" t="s">
        <v>90</v>
      </c>
      <c r="M42" s="3" t="s">
        <v>90</v>
      </c>
      <c r="N42" s="3" t="s">
        <v>90</v>
      </c>
      <c r="O42" s="3" t="s">
        <v>90</v>
      </c>
      <c r="P42" s="3" t="s">
        <v>90</v>
      </c>
    </row>
    <row r="43" ht="12.75" customHeight="1">
      <c r="A43" s="3" t="s">
        <v>171</v>
      </c>
      <c r="B43" s="3" t="s">
        <v>90</v>
      </c>
      <c r="C43" s="3" t="s">
        <v>90</v>
      </c>
      <c r="D43" s="3" t="s">
        <v>90</v>
      </c>
      <c r="E43" s="3" t="s">
        <v>90</v>
      </c>
      <c r="F43" s="3" t="s">
        <v>90</v>
      </c>
      <c r="G43" s="3" t="s">
        <v>15</v>
      </c>
      <c r="H43" s="3" t="s">
        <v>17</v>
      </c>
      <c r="I43" s="3" t="s">
        <v>16</v>
      </c>
      <c r="J43" s="3" t="s">
        <v>90</v>
      </c>
      <c r="K43" s="3" t="s">
        <v>90</v>
      </c>
      <c r="L43" s="3" t="s">
        <v>90</v>
      </c>
      <c r="M43" s="3" t="s">
        <v>90</v>
      </c>
      <c r="N43" s="3" t="s">
        <v>90</v>
      </c>
      <c r="O43" s="3" t="s">
        <v>90</v>
      </c>
      <c r="P43" s="3" t="s">
        <v>90</v>
      </c>
    </row>
    <row r="44" ht="12.75" customHeight="1">
      <c r="A44" s="3" t="s">
        <v>23</v>
      </c>
      <c r="B44" s="3" t="s">
        <v>16</v>
      </c>
      <c r="C44" s="3" t="s">
        <v>89</v>
      </c>
      <c r="D44" s="3" t="s">
        <v>17</v>
      </c>
      <c r="E44" s="3" t="s">
        <v>16</v>
      </c>
      <c r="F44" s="3" t="s">
        <v>15</v>
      </c>
      <c r="G44" s="3" t="s">
        <v>17</v>
      </c>
      <c r="H44" s="3" t="s">
        <v>90</v>
      </c>
      <c r="I44" s="3" t="s">
        <v>90</v>
      </c>
      <c r="J44" s="3" t="s">
        <v>90</v>
      </c>
      <c r="K44" s="3" t="s">
        <v>15</v>
      </c>
      <c r="L44" s="3" t="s">
        <v>90</v>
      </c>
      <c r="M44" s="3" t="s">
        <v>90</v>
      </c>
      <c r="N44" s="3" t="s">
        <v>90</v>
      </c>
      <c r="O44" s="3" t="s">
        <v>90</v>
      </c>
      <c r="P44" s="3" t="s">
        <v>90</v>
      </c>
    </row>
    <row r="45" ht="12.75" customHeight="1">
      <c r="A45" s="3" t="s">
        <v>158</v>
      </c>
      <c r="B45" s="3" t="s">
        <v>15</v>
      </c>
      <c r="C45" s="3" t="s">
        <v>16</v>
      </c>
      <c r="D45" s="3" t="s">
        <v>90</v>
      </c>
      <c r="E45" s="3" t="s">
        <v>89</v>
      </c>
      <c r="F45" s="3" t="s">
        <v>17</v>
      </c>
      <c r="G45" s="3" t="s">
        <v>90</v>
      </c>
      <c r="H45" s="3" t="s">
        <v>90</v>
      </c>
      <c r="I45" s="3" t="s">
        <v>90</v>
      </c>
      <c r="J45" s="3" t="s">
        <v>90</v>
      </c>
      <c r="K45" s="3" t="s">
        <v>89</v>
      </c>
      <c r="L45" s="3" t="s">
        <v>90</v>
      </c>
      <c r="M45" s="3" t="s">
        <v>90</v>
      </c>
      <c r="N45" s="3" t="s">
        <v>90</v>
      </c>
      <c r="O45" s="3" t="s">
        <v>90</v>
      </c>
      <c r="P45" s="3" t="s">
        <v>90</v>
      </c>
    </row>
    <row r="46" ht="12.75" customHeight="1">
      <c r="A46" s="3" t="s">
        <v>172</v>
      </c>
      <c r="B46" s="3" t="s">
        <v>90</v>
      </c>
      <c r="C46" s="3" t="s">
        <v>15</v>
      </c>
      <c r="D46" s="3" t="s">
        <v>16</v>
      </c>
      <c r="E46" s="3" t="s">
        <v>17</v>
      </c>
      <c r="F46" s="3" t="s">
        <v>17</v>
      </c>
      <c r="G46" s="3" t="s">
        <v>90</v>
      </c>
      <c r="H46" s="3" t="s">
        <v>90</v>
      </c>
      <c r="I46" s="3" t="s">
        <v>90</v>
      </c>
      <c r="J46" s="3" t="s">
        <v>90</v>
      </c>
      <c r="K46" s="3" t="s">
        <v>90</v>
      </c>
      <c r="L46" s="3" t="s">
        <v>90</v>
      </c>
      <c r="M46" s="3" t="s">
        <v>90</v>
      </c>
      <c r="N46" s="3" t="s">
        <v>90</v>
      </c>
      <c r="O46" s="3" t="s">
        <v>90</v>
      </c>
      <c r="P46" s="3" t="s">
        <v>90</v>
      </c>
    </row>
    <row r="47" ht="12.75" customHeight="1">
      <c r="A47" s="3" t="s">
        <v>173</v>
      </c>
      <c r="B47" s="3" t="s">
        <v>90</v>
      </c>
      <c r="C47" s="3" t="s">
        <v>15</v>
      </c>
      <c r="D47" s="3" t="s">
        <v>16</v>
      </c>
      <c r="E47" s="3" t="s">
        <v>17</v>
      </c>
      <c r="F47" s="3" t="s">
        <v>89</v>
      </c>
      <c r="G47" s="3" t="s">
        <v>90</v>
      </c>
      <c r="H47" s="3" t="s">
        <v>90</v>
      </c>
      <c r="I47" s="3" t="s">
        <v>90</v>
      </c>
      <c r="J47" s="3" t="s">
        <v>90</v>
      </c>
      <c r="K47" s="3" t="s">
        <v>90</v>
      </c>
      <c r="L47" s="3" t="s">
        <v>90</v>
      </c>
      <c r="M47" s="3" t="s">
        <v>90</v>
      </c>
      <c r="N47" s="3" t="s">
        <v>90</v>
      </c>
      <c r="O47" s="3" t="s">
        <v>90</v>
      </c>
      <c r="P47" s="3" t="s">
        <v>90</v>
      </c>
    </row>
    <row r="48" ht="12.75" customHeight="1">
      <c r="A48" s="3" t="s">
        <v>174</v>
      </c>
      <c r="B48" s="3" t="s">
        <v>90</v>
      </c>
      <c r="C48" s="3" t="s">
        <v>16</v>
      </c>
      <c r="D48" s="3" t="s">
        <v>89</v>
      </c>
      <c r="E48" s="3" t="s">
        <v>89</v>
      </c>
      <c r="F48" s="3" t="s">
        <v>89</v>
      </c>
      <c r="G48" s="3" t="s">
        <v>90</v>
      </c>
      <c r="H48" s="3" t="s">
        <v>90</v>
      </c>
      <c r="I48" s="3" t="s">
        <v>90</v>
      </c>
      <c r="J48" s="3" t="s">
        <v>90</v>
      </c>
      <c r="K48" s="3" t="s">
        <v>15</v>
      </c>
      <c r="L48" s="3" t="s">
        <v>90</v>
      </c>
      <c r="M48" s="3" t="s">
        <v>90</v>
      </c>
      <c r="N48" s="3" t="s">
        <v>90</v>
      </c>
      <c r="O48" s="3" t="s">
        <v>90</v>
      </c>
      <c r="P48" s="3" t="s">
        <v>90</v>
      </c>
    </row>
    <row r="49" ht="12.75" customHeight="1">
      <c r="A49" s="3" t="s">
        <v>175</v>
      </c>
      <c r="B49" s="3" t="s">
        <v>90</v>
      </c>
      <c r="C49" s="3" t="s">
        <v>17</v>
      </c>
      <c r="D49" s="3" t="s">
        <v>15</v>
      </c>
      <c r="E49" s="3" t="s">
        <v>89</v>
      </c>
      <c r="F49" s="3" t="s">
        <v>16</v>
      </c>
      <c r="G49" s="3" t="s">
        <v>90</v>
      </c>
      <c r="H49" s="3" t="s">
        <v>90</v>
      </c>
      <c r="I49" s="3" t="s">
        <v>90</v>
      </c>
      <c r="J49" s="3" t="s">
        <v>90</v>
      </c>
      <c r="K49" s="3" t="s">
        <v>90</v>
      </c>
      <c r="L49" s="3" t="s">
        <v>90</v>
      </c>
      <c r="M49" s="3" t="s">
        <v>90</v>
      </c>
      <c r="N49" s="3" t="s">
        <v>90</v>
      </c>
      <c r="O49" s="3" t="s">
        <v>90</v>
      </c>
      <c r="P49" s="3" t="s">
        <v>90</v>
      </c>
    </row>
    <row r="50" ht="12.75" customHeight="1">
      <c r="A50" s="3" t="s">
        <v>176</v>
      </c>
      <c r="B50" s="3" t="s">
        <v>90</v>
      </c>
      <c r="C50" s="3" t="s">
        <v>89</v>
      </c>
      <c r="D50" s="3" t="s">
        <v>16</v>
      </c>
      <c r="E50" s="3" t="s">
        <v>15</v>
      </c>
      <c r="F50" s="3" t="s">
        <v>17</v>
      </c>
      <c r="G50" s="3" t="s">
        <v>90</v>
      </c>
      <c r="H50" s="3" t="s">
        <v>90</v>
      </c>
      <c r="I50" s="3" t="s">
        <v>90</v>
      </c>
      <c r="J50" s="3" t="s">
        <v>90</v>
      </c>
      <c r="K50" s="3" t="s">
        <v>90</v>
      </c>
      <c r="L50" s="3" t="s">
        <v>90</v>
      </c>
      <c r="M50" s="3" t="s">
        <v>90</v>
      </c>
      <c r="N50" s="3" t="s">
        <v>90</v>
      </c>
      <c r="O50" s="3" t="s">
        <v>90</v>
      </c>
      <c r="P50" s="3" t="s">
        <v>90</v>
      </c>
    </row>
    <row r="51" ht="12.75" customHeight="1">
      <c r="A51" s="3" t="s">
        <v>177</v>
      </c>
      <c r="B51" s="3" t="s">
        <v>90</v>
      </c>
      <c r="C51" s="3" t="s">
        <v>90</v>
      </c>
      <c r="D51" s="3" t="s">
        <v>90</v>
      </c>
      <c r="E51" s="3" t="s">
        <v>90</v>
      </c>
      <c r="F51" s="3" t="s">
        <v>90</v>
      </c>
      <c r="G51" s="3" t="s">
        <v>90</v>
      </c>
      <c r="H51" s="3" t="s">
        <v>16</v>
      </c>
      <c r="I51" s="3" t="s">
        <v>15</v>
      </c>
      <c r="J51" s="3" t="s">
        <v>90</v>
      </c>
      <c r="K51" s="3" t="s">
        <v>90</v>
      </c>
      <c r="L51" s="3" t="s">
        <v>90</v>
      </c>
      <c r="M51" s="3" t="s">
        <v>90</v>
      </c>
      <c r="N51" s="3" t="s">
        <v>90</v>
      </c>
      <c r="O51" s="3" t="s">
        <v>90</v>
      </c>
      <c r="P51" s="3" t="s">
        <v>90</v>
      </c>
    </row>
    <row r="52" ht="12.75" customHeight="1">
      <c r="A52" s="3" t="s">
        <v>94</v>
      </c>
      <c r="B52" s="3" t="s">
        <v>16</v>
      </c>
      <c r="C52" s="3" t="s">
        <v>89</v>
      </c>
      <c r="D52" s="3" t="s">
        <v>89</v>
      </c>
      <c r="E52" s="3" t="s">
        <v>89</v>
      </c>
      <c r="F52" s="3" t="s">
        <v>15</v>
      </c>
      <c r="G52" s="3" t="s">
        <v>89</v>
      </c>
      <c r="H52" s="3" t="s">
        <v>89</v>
      </c>
      <c r="I52" s="3" t="s">
        <v>17</v>
      </c>
      <c r="J52" s="3" t="s">
        <v>89</v>
      </c>
      <c r="K52" s="3" t="s">
        <v>90</v>
      </c>
      <c r="L52" s="3" t="s">
        <v>90</v>
      </c>
      <c r="M52" s="3" t="s">
        <v>90</v>
      </c>
      <c r="N52" s="3" t="s">
        <v>90</v>
      </c>
      <c r="O52" s="3" t="s">
        <v>90</v>
      </c>
      <c r="P52" s="3" t="s">
        <v>90</v>
      </c>
    </row>
    <row r="53" ht="12.75" customHeight="1">
      <c r="A53" s="3" t="s">
        <v>92</v>
      </c>
      <c r="B53" s="3" t="s">
        <v>90</v>
      </c>
      <c r="C53" s="3" t="s">
        <v>89</v>
      </c>
      <c r="D53" s="3" t="s">
        <v>16</v>
      </c>
      <c r="E53" s="3" t="s">
        <v>16</v>
      </c>
      <c r="F53" s="3" t="s">
        <v>16</v>
      </c>
      <c r="G53" s="3" t="s">
        <v>90</v>
      </c>
      <c r="H53" s="3" t="s">
        <v>16</v>
      </c>
      <c r="I53" s="3" t="s">
        <v>89</v>
      </c>
      <c r="J53" s="3" t="s">
        <v>89</v>
      </c>
      <c r="K53" s="3" t="s">
        <v>90</v>
      </c>
      <c r="L53" s="3" t="s">
        <v>90</v>
      </c>
      <c r="M53" s="3" t="s">
        <v>90</v>
      </c>
      <c r="N53" s="3" t="s">
        <v>90</v>
      </c>
      <c r="O53" s="3" t="s">
        <v>90</v>
      </c>
      <c r="P53" s="3" t="s">
        <v>90</v>
      </c>
    </row>
    <row r="54" ht="12.75" customHeight="1">
      <c r="A54" s="9" t="s">
        <v>91</v>
      </c>
      <c r="B54" s="3" t="s">
        <v>89</v>
      </c>
      <c r="C54" s="3" t="s">
        <v>15</v>
      </c>
      <c r="D54" s="3" t="s">
        <v>16</v>
      </c>
      <c r="E54" s="3" t="s">
        <v>89</v>
      </c>
      <c r="F54" s="3" t="s">
        <v>89</v>
      </c>
      <c r="G54" s="3" t="s">
        <v>15</v>
      </c>
      <c r="H54" s="3" t="s">
        <v>90</v>
      </c>
      <c r="I54" s="3" t="s">
        <v>90</v>
      </c>
      <c r="J54" s="3" t="s">
        <v>90</v>
      </c>
      <c r="K54" s="3" t="s">
        <v>90</v>
      </c>
      <c r="L54" s="3" t="s">
        <v>90</v>
      </c>
      <c r="M54" s="3" t="s">
        <v>90</v>
      </c>
      <c r="N54" s="3" t="s">
        <v>90</v>
      </c>
      <c r="O54" s="3" t="s">
        <v>90</v>
      </c>
      <c r="P54" s="3" t="s">
        <v>90</v>
      </c>
    </row>
    <row r="55" ht="12.75" customHeight="1">
      <c r="A55" s="3" t="s">
        <v>178</v>
      </c>
      <c r="B55" s="3" t="s">
        <v>90</v>
      </c>
      <c r="C55" s="3" t="s">
        <v>16</v>
      </c>
      <c r="D55" s="3" t="s">
        <v>90</v>
      </c>
      <c r="E55" s="3" t="s">
        <v>90</v>
      </c>
      <c r="F55" s="3" t="s">
        <v>15</v>
      </c>
      <c r="G55" s="3" t="s">
        <v>90</v>
      </c>
      <c r="H55" s="3" t="s">
        <v>90</v>
      </c>
      <c r="I55" s="3" t="s">
        <v>17</v>
      </c>
      <c r="J55" s="3" t="s">
        <v>90</v>
      </c>
      <c r="K55" s="3" t="s">
        <v>90</v>
      </c>
      <c r="L55" s="3" t="s">
        <v>90</v>
      </c>
      <c r="M55" s="3" t="s">
        <v>90</v>
      </c>
      <c r="N55" s="3" t="s">
        <v>90</v>
      </c>
      <c r="O55" s="3" t="s">
        <v>90</v>
      </c>
      <c r="P55" s="3" t="s">
        <v>90</v>
      </c>
    </row>
    <row r="56" ht="12.75" customHeight="1">
      <c r="A56" s="3" t="s">
        <v>179</v>
      </c>
      <c r="B56" s="3" t="s">
        <v>90</v>
      </c>
      <c r="C56" s="3" t="s">
        <v>16</v>
      </c>
      <c r="D56" s="3" t="s">
        <v>90</v>
      </c>
      <c r="E56" s="3" t="s">
        <v>90</v>
      </c>
      <c r="F56" s="3" t="s">
        <v>15</v>
      </c>
      <c r="G56" s="3" t="s">
        <v>90</v>
      </c>
      <c r="H56" s="3" t="s">
        <v>90</v>
      </c>
      <c r="I56" s="3" t="s">
        <v>17</v>
      </c>
      <c r="J56" s="3" t="s">
        <v>90</v>
      </c>
      <c r="K56" s="3" t="s">
        <v>90</v>
      </c>
      <c r="L56" s="3" t="s">
        <v>90</v>
      </c>
      <c r="M56" s="3" t="s">
        <v>90</v>
      </c>
      <c r="N56" s="3" t="s">
        <v>90</v>
      </c>
      <c r="O56" s="3" t="s">
        <v>90</v>
      </c>
      <c r="P56" s="3" t="s">
        <v>90</v>
      </c>
    </row>
    <row r="57" ht="12.75" customHeight="1">
      <c r="A57" s="3" t="s">
        <v>180</v>
      </c>
      <c r="B57" s="3" t="s">
        <v>90</v>
      </c>
      <c r="C57" s="3" t="s">
        <v>15</v>
      </c>
      <c r="D57" s="3" t="s">
        <v>90</v>
      </c>
      <c r="E57" s="3" t="s">
        <v>90</v>
      </c>
      <c r="F57" s="3" t="s">
        <v>16</v>
      </c>
      <c r="G57" s="3" t="s">
        <v>90</v>
      </c>
      <c r="H57" s="3" t="s">
        <v>90</v>
      </c>
      <c r="I57" s="3" t="s">
        <v>17</v>
      </c>
      <c r="J57" s="3" t="s">
        <v>90</v>
      </c>
      <c r="K57" s="3" t="s">
        <v>90</v>
      </c>
      <c r="L57" s="3" t="s">
        <v>90</v>
      </c>
      <c r="M57" s="3" t="s">
        <v>90</v>
      </c>
      <c r="N57" s="3" t="s">
        <v>90</v>
      </c>
      <c r="O57" s="3" t="s">
        <v>90</v>
      </c>
      <c r="P57" s="3" t="s">
        <v>90</v>
      </c>
    </row>
    <row r="58" ht="12.75" customHeight="1">
      <c r="A58" s="3" t="s">
        <v>181</v>
      </c>
      <c r="B58" s="3" t="s">
        <v>90</v>
      </c>
      <c r="C58" s="3" t="s">
        <v>17</v>
      </c>
      <c r="D58" s="3" t="s">
        <v>16</v>
      </c>
      <c r="E58" s="3" t="s">
        <v>15</v>
      </c>
      <c r="F58" s="3" t="s">
        <v>90</v>
      </c>
      <c r="G58" s="3" t="s">
        <v>90</v>
      </c>
      <c r="H58" s="3" t="s">
        <v>90</v>
      </c>
      <c r="I58" s="3" t="s">
        <v>89</v>
      </c>
      <c r="J58" s="3" t="s">
        <v>90</v>
      </c>
      <c r="K58" s="3" t="s">
        <v>90</v>
      </c>
      <c r="L58" s="3" t="s">
        <v>90</v>
      </c>
      <c r="M58" s="3" t="s">
        <v>90</v>
      </c>
      <c r="N58" s="3" t="s">
        <v>90</v>
      </c>
      <c r="O58" s="3" t="s">
        <v>90</v>
      </c>
      <c r="P58" s="3" t="s">
        <v>90</v>
      </c>
    </row>
    <row r="59" ht="12.75" customHeight="1">
      <c r="A59" s="3" t="s">
        <v>182</v>
      </c>
      <c r="B59" s="3" t="s">
        <v>90</v>
      </c>
      <c r="C59" s="3" t="s">
        <v>90</v>
      </c>
      <c r="D59" s="3" t="s">
        <v>15</v>
      </c>
      <c r="E59" s="3" t="s">
        <v>16</v>
      </c>
      <c r="F59" s="3" t="s">
        <v>17</v>
      </c>
      <c r="G59" s="3" t="s">
        <v>90</v>
      </c>
      <c r="H59" s="3" t="s">
        <v>90</v>
      </c>
      <c r="I59" s="3" t="s">
        <v>90</v>
      </c>
      <c r="J59" s="3" t="s">
        <v>90</v>
      </c>
      <c r="K59" s="3" t="s">
        <v>90</v>
      </c>
      <c r="L59" s="3" t="s">
        <v>90</v>
      </c>
      <c r="M59" s="3" t="s">
        <v>90</v>
      </c>
      <c r="N59" s="3" t="s">
        <v>90</v>
      </c>
      <c r="O59" s="3" t="s">
        <v>90</v>
      </c>
      <c r="P59" s="3" t="s">
        <v>90</v>
      </c>
    </row>
    <row r="60" ht="12.75" customHeight="1">
      <c r="A60" s="3" t="s">
        <v>183</v>
      </c>
      <c r="B60" s="3" t="s">
        <v>90</v>
      </c>
      <c r="C60" s="3" t="s">
        <v>90</v>
      </c>
      <c r="D60" s="3" t="s">
        <v>16</v>
      </c>
      <c r="E60" s="3" t="s">
        <v>17</v>
      </c>
      <c r="F60" s="3" t="s">
        <v>15</v>
      </c>
      <c r="G60" s="3" t="s">
        <v>90</v>
      </c>
      <c r="H60" s="3" t="s">
        <v>90</v>
      </c>
      <c r="I60" s="3" t="s">
        <v>90</v>
      </c>
      <c r="J60" s="3" t="s">
        <v>90</v>
      </c>
      <c r="K60" s="3" t="s">
        <v>90</v>
      </c>
      <c r="L60" s="3" t="s">
        <v>90</v>
      </c>
      <c r="M60" s="3" t="s">
        <v>90</v>
      </c>
      <c r="N60" s="3" t="s">
        <v>90</v>
      </c>
      <c r="O60" s="3" t="s">
        <v>90</v>
      </c>
      <c r="P60" s="3" t="s">
        <v>90</v>
      </c>
    </row>
    <row r="61" ht="12.75" customHeight="1">
      <c r="A61" s="3" t="s">
        <v>99</v>
      </c>
      <c r="B61" s="3" t="s">
        <v>90</v>
      </c>
      <c r="C61" s="3" t="s">
        <v>90</v>
      </c>
      <c r="D61" s="3" t="s">
        <v>17</v>
      </c>
      <c r="E61" s="3" t="s">
        <v>15</v>
      </c>
      <c r="F61" s="3" t="s">
        <v>16</v>
      </c>
      <c r="G61" s="3" t="s">
        <v>90</v>
      </c>
      <c r="H61" s="3" t="s">
        <v>90</v>
      </c>
      <c r="I61" s="3" t="s">
        <v>90</v>
      </c>
      <c r="J61" s="3" t="s">
        <v>90</v>
      </c>
      <c r="K61" s="3" t="s">
        <v>90</v>
      </c>
      <c r="L61" s="3" t="s">
        <v>90</v>
      </c>
      <c r="M61" s="3" t="s">
        <v>90</v>
      </c>
      <c r="N61" s="3" t="s">
        <v>90</v>
      </c>
      <c r="O61" s="3" t="s">
        <v>90</v>
      </c>
      <c r="P61" s="3" t="s">
        <v>90</v>
      </c>
    </row>
    <row r="62" ht="12.75" customHeight="1">
      <c r="A62" s="3" t="s">
        <v>184</v>
      </c>
      <c r="B62" s="3" t="s">
        <v>90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90</v>
      </c>
      <c r="H62" s="3" t="s">
        <v>15</v>
      </c>
      <c r="I62" s="3" t="s">
        <v>16</v>
      </c>
      <c r="J62" s="3" t="s">
        <v>90</v>
      </c>
      <c r="K62" s="3" t="s">
        <v>90</v>
      </c>
      <c r="L62" s="3" t="s">
        <v>90</v>
      </c>
      <c r="M62" s="3" t="s">
        <v>90</v>
      </c>
      <c r="N62" s="3" t="s">
        <v>90</v>
      </c>
      <c r="O62" s="3" t="s">
        <v>90</v>
      </c>
      <c r="P62" s="3" t="s">
        <v>90</v>
      </c>
    </row>
    <row r="63" ht="12.75" customHeight="1">
      <c r="A63" s="3" t="s">
        <v>163</v>
      </c>
      <c r="B63" s="3" t="s">
        <v>89</v>
      </c>
      <c r="C63" s="3" t="s">
        <v>15</v>
      </c>
      <c r="D63" s="3" t="s">
        <v>15</v>
      </c>
      <c r="E63" s="3" t="s">
        <v>15</v>
      </c>
      <c r="F63" s="3" t="s">
        <v>89</v>
      </c>
      <c r="G63" s="3" t="s">
        <v>16</v>
      </c>
      <c r="H63" s="3" t="s">
        <v>15</v>
      </c>
      <c r="I63" s="3" t="s">
        <v>16</v>
      </c>
      <c r="J63" s="3" t="s">
        <v>16</v>
      </c>
      <c r="K63" s="3" t="s">
        <v>90</v>
      </c>
      <c r="L63" s="3" t="s">
        <v>90</v>
      </c>
      <c r="M63" s="3" t="s">
        <v>90</v>
      </c>
      <c r="N63" s="3" t="s">
        <v>90</v>
      </c>
      <c r="O63" s="3" t="s">
        <v>89</v>
      </c>
      <c r="P63" s="3" t="s">
        <v>89</v>
      </c>
    </row>
    <row r="64" ht="12.75" customHeight="1">
      <c r="A64" s="8" t="s">
        <v>18</v>
      </c>
      <c r="B64" s="3" t="s">
        <v>16</v>
      </c>
      <c r="C64" s="3" t="s">
        <v>15</v>
      </c>
      <c r="D64" s="3" t="s">
        <v>90</v>
      </c>
      <c r="E64" s="3" t="s">
        <v>17</v>
      </c>
      <c r="F64" s="3" t="s">
        <v>17</v>
      </c>
      <c r="G64" s="3" t="s">
        <v>89</v>
      </c>
      <c r="H64" s="3" t="s">
        <v>90</v>
      </c>
      <c r="I64" s="3" t="s">
        <v>90</v>
      </c>
      <c r="J64" s="3" t="s">
        <v>90</v>
      </c>
      <c r="K64" s="3" t="s">
        <v>90</v>
      </c>
      <c r="L64" s="3" t="s">
        <v>90</v>
      </c>
      <c r="M64" s="3" t="s">
        <v>90</v>
      </c>
      <c r="N64" s="3" t="s">
        <v>90</v>
      </c>
      <c r="O64" s="3" t="s">
        <v>90</v>
      </c>
      <c r="P64" s="3" t="s">
        <v>90</v>
      </c>
    </row>
    <row r="65" ht="12.75" customHeight="1">
      <c r="A65" s="3" t="s">
        <v>33</v>
      </c>
      <c r="B65" s="3" t="s">
        <v>90</v>
      </c>
      <c r="C65" s="3" t="s">
        <v>15</v>
      </c>
      <c r="D65" s="3" t="s">
        <v>90</v>
      </c>
      <c r="E65" s="3" t="s">
        <v>90</v>
      </c>
      <c r="F65" s="3" t="s">
        <v>17</v>
      </c>
      <c r="G65" s="3" t="s">
        <v>90</v>
      </c>
      <c r="H65" s="3" t="s">
        <v>15</v>
      </c>
      <c r="I65" s="3" t="s">
        <v>90</v>
      </c>
      <c r="J65" s="3" t="s">
        <v>90</v>
      </c>
      <c r="K65" s="3" t="s">
        <v>90</v>
      </c>
      <c r="L65" s="3" t="s">
        <v>90</v>
      </c>
      <c r="M65" s="3" t="s">
        <v>90</v>
      </c>
      <c r="N65" s="3" t="s">
        <v>90</v>
      </c>
      <c r="O65" s="3" t="s">
        <v>16</v>
      </c>
      <c r="P65" s="3" t="s">
        <v>17</v>
      </c>
    </row>
    <row r="66" ht="12.75" customHeight="1">
      <c r="A66" s="3" t="s">
        <v>185</v>
      </c>
      <c r="B66" s="3" t="s">
        <v>90</v>
      </c>
      <c r="C66" s="3" t="s">
        <v>16</v>
      </c>
      <c r="D66" s="3" t="s">
        <v>90</v>
      </c>
      <c r="E66" s="3" t="s">
        <v>17</v>
      </c>
      <c r="F66" s="3" t="s">
        <v>15</v>
      </c>
      <c r="G66" s="3" t="s">
        <v>90</v>
      </c>
      <c r="H66" s="3" t="s">
        <v>90</v>
      </c>
      <c r="I66" s="3" t="s">
        <v>89</v>
      </c>
      <c r="J66" s="3" t="s">
        <v>90</v>
      </c>
      <c r="K66" s="3" t="s">
        <v>90</v>
      </c>
      <c r="L66" s="3" t="s">
        <v>90</v>
      </c>
      <c r="M66" s="3" t="s">
        <v>90</v>
      </c>
      <c r="N66" s="3" t="s">
        <v>90</v>
      </c>
      <c r="O66" s="3" t="s">
        <v>90</v>
      </c>
      <c r="P66" s="3" t="s">
        <v>90</v>
      </c>
    </row>
    <row r="67" ht="12.75" customHeight="1">
      <c r="A67" s="3" t="s">
        <v>186</v>
      </c>
      <c r="B67" s="3" t="s">
        <v>90</v>
      </c>
      <c r="C67" s="3" t="s">
        <v>15</v>
      </c>
      <c r="D67" s="3" t="s">
        <v>90</v>
      </c>
      <c r="E67" s="3" t="s">
        <v>16</v>
      </c>
      <c r="F67" s="3" t="s">
        <v>17</v>
      </c>
      <c r="G67" s="3" t="s">
        <v>90</v>
      </c>
      <c r="H67" s="3" t="s">
        <v>90</v>
      </c>
      <c r="I67" s="3" t="s">
        <v>89</v>
      </c>
      <c r="J67" s="3" t="s">
        <v>90</v>
      </c>
      <c r="K67" s="3" t="s">
        <v>90</v>
      </c>
      <c r="L67" s="3" t="s">
        <v>90</v>
      </c>
      <c r="M67" s="3" t="s">
        <v>90</v>
      </c>
      <c r="N67" s="3" t="s">
        <v>90</v>
      </c>
      <c r="O67" s="3" t="s">
        <v>90</v>
      </c>
      <c r="P67" s="3" t="s">
        <v>90</v>
      </c>
    </row>
    <row r="68" ht="12.75" customHeight="1">
      <c r="A68" s="3" t="s">
        <v>187</v>
      </c>
      <c r="B68" s="3" t="s">
        <v>90</v>
      </c>
      <c r="C68" s="3" t="s">
        <v>89</v>
      </c>
      <c r="D68" s="3" t="s">
        <v>15</v>
      </c>
      <c r="E68" s="3" t="s">
        <v>17</v>
      </c>
      <c r="F68" s="3" t="s">
        <v>89</v>
      </c>
      <c r="G68" s="3" t="s">
        <v>90</v>
      </c>
      <c r="H68" s="3" t="s">
        <v>16</v>
      </c>
      <c r="I68" s="3" t="s">
        <v>90</v>
      </c>
      <c r="J68" s="3" t="s">
        <v>90</v>
      </c>
      <c r="K68" s="3" t="s">
        <v>90</v>
      </c>
      <c r="L68" s="3" t="s">
        <v>90</v>
      </c>
      <c r="M68" s="3" t="s">
        <v>90</v>
      </c>
      <c r="N68" s="3" t="s">
        <v>90</v>
      </c>
      <c r="O68" s="3" t="s">
        <v>90</v>
      </c>
      <c r="P68" s="3" t="s">
        <v>90</v>
      </c>
    </row>
    <row r="69" ht="12.75" customHeight="1">
      <c r="A69" s="3" t="s">
        <v>188</v>
      </c>
      <c r="B69" s="3" t="s">
        <v>90</v>
      </c>
      <c r="C69" s="3" t="s">
        <v>17</v>
      </c>
      <c r="D69" s="3" t="s">
        <v>89</v>
      </c>
      <c r="E69" s="3" t="s">
        <v>16</v>
      </c>
      <c r="F69" s="3" t="s">
        <v>15</v>
      </c>
      <c r="G69" s="3" t="s">
        <v>90</v>
      </c>
      <c r="H69" s="3" t="s">
        <v>89</v>
      </c>
      <c r="I69" s="3" t="s">
        <v>90</v>
      </c>
      <c r="J69" s="3" t="s">
        <v>90</v>
      </c>
      <c r="K69" s="3" t="s">
        <v>90</v>
      </c>
      <c r="L69" s="3" t="s">
        <v>90</v>
      </c>
      <c r="M69" s="3" t="s">
        <v>90</v>
      </c>
      <c r="N69" s="3" t="s">
        <v>90</v>
      </c>
      <c r="O69" s="3" t="s">
        <v>90</v>
      </c>
      <c r="P69" s="3" t="s">
        <v>90</v>
      </c>
    </row>
    <row r="70" ht="12.75" customHeight="1">
      <c r="A70" s="3" t="s">
        <v>189</v>
      </c>
      <c r="B70" s="3" t="s">
        <v>90</v>
      </c>
      <c r="C70" s="3" t="s">
        <v>15</v>
      </c>
      <c r="D70" s="3" t="s">
        <v>17</v>
      </c>
      <c r="E70" s="3" t="s">
        <v>16</v>
      </c>
      <c r="F70" s="3" t="s">
        <v>90</v>
      </c>
      <c r="G70" s="3" t="s">
        <v>90</v>
      </c>
      <c r="H70" s="3" t="s">
        <v>90</v>
      </c>
      <c r="I70" s="3" t="s">
        <v>90</v>
      </c>
      <c r="J70" s="3" t="s">
        <v>90</v>
      </c>
      <c r="K70" s="3" t="s">
        <v>90</v>
      </c>
      <c r="L70" s="3" t="s">
        <v>90</v>
      </c>
      <c r="M70" s="3" t="s">
        <v>90</v>
      </c>
      <c r="N70" s="3" t="s">
        <v>90</v>
      </c>
      <c r="O70" s="3" t="s">
        <v>90</v>
      </c>
      <c r="P70" s="3" t="s">
        <v>90</v>
      </c>
    </row>
    <row r="71" ht="12.75" customHeight="1">
      <c r="A71" s="3" t="s">
        <v>190</v>
      </c>
      <c r="B71" s="3" t="s">
        <v>90</v>
      </c>
      <c r="C71" s="3" t="s">
        <v>89</v>
      </c>
      <c r="D71" s="3" t="s">
        <v>16</v>
      </c>
      <c r="E71" s="3" t="s">
        <v>15</v>
      </c>
      <c r="F71" s="3" t="s">
        <v>17</v>
      </c>
      <c r="G71" s="3" t="s">
        <v>90</v>
      </c>
      <c r="H71" s="3" t="s">
        <v>90</v>
      </c>
      <c r="I71" s="3" t="s">
        <v>90</v>
      </c>
      <c r="J71" s="3" t="s">
        <v>90</v>
      </c>
      <c r="K71" s="3" t="s">
        <v>90</v>
      </c>
      <c r="L71" s="3" t="s">
        <v>90</v>
      </c>
      <c r="M71" s="3" t="s">
        <v>90</v>
      </c>
      <c r="N71" s="3" t="s">
        <v>90</v>
      </c>
      <c r="O71" s="3" t="s">
        <v>90</v>
      </c>
      <c r="P71" s="3" t="s">
        <v>90</v>
      </c>
    </row>
    <row r="72" ht="12.75" customHeight="1">
      <c r="A72" s="3" t="s">
        <v>191</v>
      </c>
      <c r="B72" s="3" t="s">
        <v>90</v>
      </c>
      <c r="C72" s="3" t="s">
        <v>90</v>
      </c>
      <c r="D72" s="3" t="s">
        <v>90</v>
      </c>
      <c r="E72" s="3" t="s">
        <v>90</v>
      </c>
      <c r="F72" s="3" t="s">
        <v>90</v>
      </c>
      <c r="G72" s="3" t="s">
        <v>90</v>
      </c>
      <c r="H72" s="3" t="s">
        <v>16</v>
      </c>
      <c r="I72" s="3" t="s">
        <v>15</v>
      </c>
      <c r="J72" s="3" t="s">
        <v>17</v>
      </c>
      <c r="K72" s="3" t="s">
        <v>90</v>
      </c>
      <c r="L72" s="3" t="s">
        <v>90</v>
      </c>
      <c r="M72" s="3" t="s">
        <v>90</v>
      </c>
      <c r="N72" s="3" t="s">
        <v>90</v>
      </c>
      <c r="O72" s="3" t="s">
        <v>90</v>
      </c>
      <c r="P72" s="3" t="s">
        <v>90</v>
      </c>
    </row>
    <row r="73" ht="12.75" customHeight="1">
      <c r="A73" s="3" t="s">
        <v>192</v>
      </c>
      <c r="B73" s="3" t="s">
        <v>90</v>
      </c>
      <c r="C73" s="3" t="s">
        <v>89</v>
      </c>
      <c r="D73" s="3" t="s">
        <v>16</v>
      </c>
      <c r="E73" s="3" t="s">
        <v>17</v>
      </c>
      <c r="F73" s="3" t="s">
        <v>15</v>
      </c>
      <c r="G73" s="3" t="s">
        <v>90</v>
      </c>
      <c r="H73" s="3" t="s">
        <v>90</v>
      </c>
      <c r="I73" s="3" t="s">
        <v>90</v>
      </c>
      <c r="J73" s="3" t="s">
        <v>90</v>
      </c>
      <c r="K73" s="3" t="s">
        <v>90</v>
      </c>
      <c r="L73" s="3" t="s">
        <v>90</v>
      </c>
      <c r="M73" s="3" t="s">
        <v>90</v>
      </c>
      <c r="N73" s="3" t="s">
        <v>90</v>
      </c>
      <c r="O73" s="3" t="s">
        <v>90</v>
      </c>
      <c r="P73" s="3" t="s">
        <v>90</v>
      </c>
    </row>
    <row r="74" ht="15.0" customHeight="1">
      <c r="A74" s="3" t="s">
        <v>193</v>
      </c>
      <c r="B74" s="3" t="s">
        <v>15</v>
      </c>
      <c r="C74" s="3" t="s">
        <v>89</v>
      </c>
      <c r="D74" s="3" t="s">
        <v>16</v>
      </c>
      <c r="E74" s="3" t="s">
        <v>17</v>
      </c>
      <c r="F74" s="3" t="s">
        <v>89</v>
      </c>
      <c r="G74" s="3" t="s">
        <v>90</v>
      </c>
      <c r="H74" s="3" t="s">
        <v>90</v>
      </c>
      <c r="I74" s="3" t="s">
        <v>90</v>
      </c>
      <c r="J74" s="3" t="s">
        <v>90</v>
      </c>
      <c r="K74" s="3" t="s">
        <v>90</v>
      </c>
      <c r="L74" s="3" t="s">
        <v>90</v>
      </c>
      <c r="M74" s="3" t="s">
        <v>90</v>
      </c>
      <c r="N74" s="3" t="s">
        <v>90</v>
      </c>
      <c r="O74" s="3" t="s">
        <v>90</v>
      </c>
      <c r="P74" s="3" t="s">
        <v>90</v>
      </c>
    </row>
    <row r="75" ht="14.25" customHeight="1">
      <c r="A75" s="3" t="s">
        <v>194</v>
      </c>
      <c r="B75" s="3" t="s">
        <v>90</v>
      </c>
      <c r="C75" s="3" t="s">
        <v>15</v>
      </c>
      <c r="D75" s="3" t="s">
        <v>17</v>
      </c>
      <c r="E75" s="3" t="s">
        <v>16</v>
      </c>
      <c r="F75" s="3" t="s">
        <v>89</v>
      </c>
      <c r="G75" s="3" t="s">
        <v>90</v>
      </c>
      <c r="H75" s="3" t="s">
        <v>90</v>
      </c>
      <c r="I75" s="3" t="s">
        <v>90</v>
      </c>
      <c r="J75" s="3" t="s">
        <v>90</v>
      </c>
      <c r="K75" s="3" t="s">
        <v>90</v>
      </c>
      <c r="L75" s="3" t="s">
        <v>90</v>
      </c>
      <c r="M75" s="3" t="s">
        <v>90</v>
      </c>
      <c r="N75" s="3" t="s">
        <v>90</v>
      </c>
      <c r="O75" s="3" t="s">
        <v>90</v>
      </c>
      <c r="P75" s="3" t="s">
        <v>90</v>
      </c>
    </row>
    <row r="76" ht="12.75" customHeight="1">
      <c r="A76" s="3" t="s">
        <v>184</v>
      </c>
      <c r="B76" s="3" t="s">
        <v>90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90</v>
      </c>
      <c r="H76" s="3" t="s">
        <v>16</v>
      </c>
      <c r="I76" s="3" t="s">
        <v>16</v>
      </c>
      <c r="J76" s="3" t="s">
        <v>90</v>
      </c>
      <c r="K76" s="3" t="s">
        <v>90</v>
      </c>
      <c r="L76" s="3" t="s">
        <v>90</v>
      </c>
      <c r="M76" s="3" t="s">
        <v>90</v>
      </c>
      <c r="N76" s="3" t="s">
        <v>90</v>
      </c>
      <c r="O76" s="3" t="s">
        <v>90</v>
      </c>
      <c r="P76" s="3" t="s">
        <v>90</v>
      </c>
    </row>
    <row r="77" ht="12.75" customHeight="1">
      <c r="A77" s="3" t="s">
        <v>195</v>
      </c>
      <c r="B77" s="3" t="s">
        <v>89</v>
      </c>
      <c r="C77" s="3" t="s">
        <v>16</v>
      </c>
      <c r="D77" s="3" t="s">
        <v>89</v>
      </c>
      <c r="E77" s="3" t="s">
        <v>15</v>
      </c>
      <c r="F77" s="3" t="s">
        <v>15</v>
      </c>
      <c r="G77" s="3" t="s">
        <v>90</v>
      </c>
      <c r="H77" s="3" t="s">
        <v>89</v>
      </c>
      <c r="I77" s="3" t="s">
        <v>89</v>
      </c>
      <c r="J77" s="3" t="s">
        <v>89</v>
      </c>
      <c r="K77" s="3" t="s">
        <v>90</v>
      </c>
      <c r="L77" s="3" t="s">
        <v>90</v>
      </c>
      <c r="M77" s="3" t="s">
        <v>90</v>
      </c>
      <c r="N77" s="3" t="s">
        <v>90</v>
      </c>
      <c r="O77" s="3" t="s">
        <v>90</v>
      </c>
      <c r="P77" s="3" t="s">
        <v>90</v>
      </c>
    </row>
    <row r="78" ht="12.75" customHeight="1">
      <c r="A78" s="9" t="s">
        <v>91</v>
      </c>
      <c r="B78" s="3" t="s">
        <v>15</v>
      </c>
      <c r="C78" s="3" t="s">
        <v>16</v>
      </c>
      <c r="D78" s="3" t="s">
        <v>17</v>
      </c>
      <c r="E78" s="3" t="s">
        <v>17</v>
      </c>
      <c r="F78" s="3" t="s">
        <v>89</v>
      </c>
      <c r="G78" s="3" t="s">
        <v>89</v>
      </c>
      <c r="H78" s="3" t="s">
        <v>90</v>
      </c>
      <c r="I78" s="3" t="s">
        <v>90</v>
      </c>
      <c r="J78" s="3" t="s">
        <v>90</v>
      </c>
      <c r="K78" s="3" t="s">
        <v>90</v>
      </c>
      <c r="L78" s="3" t="s">
        <v>90</v>
      </c>
      <c r="M78" s="3" t="s">
        <v>90</v>
      </c>
      <c r="N78" s="3" t="s">
        <v>90</v>
      </c>
      <c r="O78" s="3" t="s">
        <v>90</v>
      </c>
      <c r="P78" s="3" t="s">
        <v>90</v>
      </c>
    </row>
    <row r="79" ht="12.75" customHeight="1">
      <c r="A79" s="3" t="s">
        <v>31</v>
      </c>
      <c r="B79" s="3" t="s">
        <v>17</v>
      </c>
      <c r="C79" s="3" t="s">
        <v>16</v>
      </c>
      <c r="D79" s="3" t="s">
        <v>15</v>
      </c>
      <c r="E79" s="3" t="s">
        <v>89</v>
      </c>
      <c r="F79" s="3" t="s">
        <v>89</v>
      </c>
      <c r="G79" s="3" t="s">
        <v>90</v>
      </c>
      <c r="H79" s="3" t="s">
        <v>90</v>
      </c>
      <c r="I79" s="3" t="s">
        <v>90</v>
      </c>
      <c r="J79" s="3" t="s">
        <v>90</v>
      </c>
      <c r="K79" s="3" t="s">
        <v>90</v>
      </c>
      <c r="L79" s="3" t="s">
        <v>90</v>
      </c>
      <c r="M79" s="3" t="s">
        <v>90</v>
      </c>
      <c r="N79" s="3" t="s">
        <v>90</v>
      </c>
      <c r="O79" s="3" t="s">
        <v>90</v>
      </c>
      <c r="P79" s="3" t="s">
        <v>90</v>
      </c>
    </row>
    <row r="80" ht="12.75" customHeight="1">
      <c r="A80" s="3" t="s">
        <v>196</v>
      </c>
      <c r="B80" s="3" t="s">
        <v>90</v>
      </c>
      <c r="C80" s="3" t="s">
        <v>15</v>
      </c>
      <c r="D80" s="3" t="s">
        <v>15</v>
      </c>
      <c r="E80" s="3" t="s">
        <v>15</v>
      </c>
      <c r="F80" s="3" t="s">
        <v>16</v>
      </c>
      <c r="G80" s="3" t="s">
        <v>90</v>
      </c>
      <c r="H80" s="3" t="s">
        <v>90</v>
      </c>
      <c r="I80" s="3" t="s">
        <v>90</v>
      </c>
      <c r="J80" s="3" t="s">
        <v>90</v>
      </c>
      <c r="K80" s="3" t="s">
        <v>90</v>
      </c>
      <c r="L80" s="3" t="s">
        <v>90</v>
      </c>
      <c r="M80" s="3" t="s">
        <v>90</v>
      </c>
      <c r="N80" s="3" t="s">
        <v>90</v>
      </c>
      <c r="O80" s="3" t="s">
        <v>90</v>
      </c>
      <c r="P80" s="3" t="s">
        <v>90</v>
      </c>
    </row>
    <row r="81" ht="12.75" customHeight="1">
      <c r="A81" s="3" t="s">
        <v>197</v>
      </c>
      <c r="B81" s="3" t="s">
        <v>89</v>
      </c>
      <c r="C81" s="3" t="s">
        <v>89</v>
      </c>
      <c r="D81" s="3" t="s">
        <v>89</v>
      </c>
      <c r="E81" s="3" t="s">
        <v>15</v>
      </c>
      <c r="F81" s="3" t="s">
        <v>89</v>
      </c>
      <c r="G81" s="3" t="s">
        <v>90</v>
      </c>
      <c r="H81" s="3" t="s">
        <v>90</v>
      </c>
      <c r="I81" s="3" t="s">
        <v>90</v>
      </c>
      <c r="J81" s="3" t="s">
        <v>16</v>
      </c>
      <c r="K81" s="3" t="s">
        <v>17</v>
      </c>
      <c r="L81" s="3" t="s">
        <v>90</v>
      </c>
      <c r="M81" s="3" t="s">
        <v>90</v>
      </c>
      <c r="N81" s="3" t="s">
        <v>90</v>
      </c>
      <c r="O81" s="3" t="s">
        <v>90</v>
      </c>
      <c r="P81" s="3" t="s">
        <v>90</v>
      </c>
    </row>
    <row r="82" ht="12.75" customHeight="1">
      <c r="A82" s="3" t="s">
        <v>198</v>
      </c>
      <c r="B82" s="3" t="s">
        <v>90</v>
      </c>
      <c r="C82" s="3" t="s">
        <v>89</v>
      </c>
      <c r="D82" s="3" t="s">
        <v>89</v>
      </c>
      <c r="E82" s="3" t="s">
        <v>89</v>
      </c>
      <c r="F82" s="3" t="s">
        <v>89</v>
      </c>
      <c r="G82" s="3" t="s">
        <v>90</v>
      </c>
      <c r="H82" s="3" t="s">
        <v>90</v>
      </c>
      <c r="I82" s="3" t="s">
        <v>90</v>
      </c>
      <c r="J82" s="3" t="s">
        <v>90</v>
      </c>
      <c r="K82" s="3" t="s">
        <v>16</v>
      </c>
      <c r="L82" s="3" t="s">
        <v>90</v>
      </c>
      <c r="M82" s="3" t="s">
        <v>90</v>
      </c>
      <c r="N82" s="3" t="s">
        <v>90</v>
      </c>
      <c r="O82" s="3" t="s">
        <v>90</v>
      </c>
      <c r="P82" s="3" t="s">
        <v>90</v>
      </c>
    </row>
    <row r="83" ht="12.75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customHeight="1"/>
    <row r="99" ht="14.25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2.75" customHeight="1">
      <c r="A100" s="2" t="s">
        <v>89</v>
      </c>
      <c r="B100" s="3">
        <f t="array" ref="B100">SUM(IF(B2:B99="v",1))</f>
        <v>8</v>
      </c>
      <c r="C100" s="3">
        <f t="array" ref="C100">SUM(IF(C2:C99="v",1))</f>
        <v>22</v>
      </c>
      <c r="D100" s="3">
        <f t="array" ref="D100">SUM(IF(D2:D99="v",1))</f>
        <v>25</v>
      </c>
      <c r="E100" s="3">
        <f t="array" ref="E100">SUM(IF(E2:E99="v",1))</f>
        <v>19</v>
      </c>
      <c r="F100" s="3">
        <f t="array" ref="F100">SUM(IF(F2:F99="v",1))</f>
        <v>24</v>
      </c>
      <c r="G100" s="3">
        <f t="array" ref="G100">SUM(IF(G2:G99="v",1))</f>
        <v>7</v>
      </c>
      <c r="H100" s="3">
        <f t="array" ref="H100">SUM(IF(H2:H99="v",1))</f>
        <v>7</v>
      </c>
      <c r="I100" s="3">
        <f t="array" ref="I100">SUM(IF(I2:I99="v",1))</f>
        <v>10</v>
      </c>
      <c r="J100" s="3">
        <f t="array" ref="J100">SUM(IF(J2:J99="v",1))</f>
        <v>5</v>
      </c>
      <c r="K100" s="3">
        <f t="array" ref="K100">SUM(IF(K2:K99="v",1))</f>
        <v>4</v>
      </c>
      <c r="L100" s="3">
        <f t="array" ref="L100">SUM(IF(L2:L99="v",1))</f>
        <v>2</v>
      </c>
      <c r="M100" s="3">
        <f t="array" ref="M100">SUM(IF(M2:M99="v",1))</f>
        <v>0</v>
      </c>
      <c r="N100" s="3">
        <f t="array" ref="N100">SUM(IF(N2:N99="v",1))</f>
        <v>1</v>
      </c>
      <c r="O100" s="3">
        <f t="array" ref="O100">SUM(IF(O2:O99="v",1))</f>
        <v>1</v>
      </c>
      <c r="P100" s="3">
        <f t="array" ref="P100">SUM(IF(P2:P99="v",1))</f>
        <v>1</v>
      </c>
    </row>
    <row r="101" ht="13.5" customHeight="1">
      <c r="A101" s="2" t="s">
        <v>90</v>
      </c>
      <c r="B101" s="3">
        <f t="array" ref="B101">SUM(IF(B2:B99="x",1))</f>
        <v>41</v>
      </c>
      <c r="C101" s="3">
        <f t="array" ref="C101">SUM(IF(C2:C99="x",1))</f>
        <v>16</v>
      </c>
      <c r="D101" s="3">
        <f t="array" ref="D101">SUM(IF(D2:D99="x",1))</f>
        <v>20</v>
      </c>
      <c r="E101" s="3">
        <f t="array" ref="E101">SUM(IF(E2:E99="x",1))</f>
        <v>19</v>
      </c>
      <c r="F101" s="3">
        <f t="array" ref="F101">SUM(IF(F2:F99="x",1))</f>
        <v>11</v>
      </c>
      <c r="G101" s="3">
        <f t="array" ref="G101">SUM(IF(G2:G99="x",1))</f>
        <v>53</v>
      </c>
      <c r="H101" s="3">
        <f t="array" ref="H101">SUM(IF(H2:H99="x",1))</f>
        <v>61</v>
      </c>
      <c r="I101" s="3">
        <f t="array" ref="I101">SUM(IF(I2:I99="x",1))</f>
        <v>54</v>
      </c>
      <c r="J101" s="3">
        <f t="array" ref="J101">SUM(IF(J2:J99="x",1))</f>
        <v>63</v>
      </c>
      <c r="K101" s="3">
        <f t="array" ref="K101">SUM(IF(K2:K99="x",1))</f>
        <v>64</v>
      </c>
      <c r="L101" s="3">
        <f t="array" ref="L101">SUM(IF(L2:L99="x",1))</f>
        <v>79</v>
      </c>
      <c r="M101" s="3">
        <f t="array" ref="M101">SUM(IF(M2:M99="x",1))</f>
        <v>81</v>
      </c>
      <c r="N101" s="3">
        <f t="array" ref="N101">SUM(IF(N2:N99="x",1))</f>
        <v>80</v>
      </c>
      <c r="O101" s="3">
        <f t="array" ref="O101">SUM(IF(O2:O99="x",1))</f>
        <v>76</v>
      </c>
      <c r="P101" s="3">
        <f t="array" ref="P101">SUM(IF(P2:P99="x",1))</f>
        <v>79</v>
      </c>
    </row>
    <row r="102" ht="15.0" customHeight="1">
      <c r="A102" s="2" t="s">
        <v>128</v>
      </c>
      <c r="B102" s="3">
        <f t="shared" ref="B102:P102" si="1">B100+B103+B104+B105</f>
        <v>40</v>
      </c>
      <c r="C102" s="3">
        <f t="shared" si="1"/>
        <v>65</v>
      </c>
      <c r="D102" s="3">
        <f t="shared" si="1"/>
        <v>61</v>
      </c>
      <c r="E102" s="3">
        <f t="shared" si="1"/>
        <v>62</v>
      </c>
      <c r="F102" s="3">
        <f t="shared" si="1"/>
        <v>70</v>
      </c>
      <c r="G102" s="3">
        <f t="shared" si="1"/>
        <v>28</v>
      </c>
      <c r="H102" s="3">
        <f t="shared" si="1"/>
        <v>20</v>
      </c>
      <c r="I102" s="3">
        <f t="shared" si="1"/>
        <v>27</v>
      </c>
      <c r="J102" s="3">
        <f t="shared" si="1"/>
        <v>18</v>
      </c>
      <c r="K102" s="3">
        <f t="shared" si="1"/>
        <v>17</v>
      </c>
      <c r="L102" s="3">
        <f t="shared" si="1"/>
        <v>2</v>
      </c>
      <c r="M102" s="3">
        <f t="shared" si="1"/>
        <v>0</v>
      </c>
      <c r="N102" s="3">
        <f t="shared" si="1"/>
        <v>1</v>
      </c>
      <c r="O102" s="3">
        <f t="shared" si="1"/>
        <v>5</v>
      </c>
      <c r="P102" s="3">
        <f t="shared" si="1"/>
        <v>2</v>
      </c>
    </row>
    <row r="103" ht="12.75" customHeight="1">
      <c r="A103" s="2" t="s">
        <v>17</v>
      </c>
      <c r="B103" s="3">
        <f t="array" ref="B103">SUM(IF(B$2:B$99=$A103,1))</f>
        <v>4</v>
      </c>
      <c r="C103" s="3">
        <f t="array" ref="C103">SUM(IF(C$2:C$99=$A103,1))</f>
        <v>12</v>
      </c>
      <c r="D103" s="3">
        <f t="array" ref="D103">SUM(IF(D$2:D$99=$A103,1))</f>
        <v>7</v>
      </c>
      <c r="E103" s="3">
        <f t="array" ref="E103">SUM(IF(E$2:E$99=$A103,1))</f>
        <v>15</v>
      </c>
      <c r="F103" s="3">
        <f t="array" ref="F103">SUM(IF(F$2:F$99=$A103,1))</f>
        <v>16</v>
      </c>
      <c r="G103" s="3">
        <f t="array" ref="G103">SUM(IF(G$2:G$99=$A103,1))</f>
        <v>6</v>
      </c>
      <c r="H103" s="3">
        <f t="array" ref="H103">SUM(IF(H$2:H$99=$A103,1))</f>
        <v>1</v>
      </c>
      <c r="I103" s="3">
        <f t="array" ref="I103">SUM(IF(I$2:I$99=$A103,1))</f>
        <v>4</v>
      </c>
      <c r="J103" s="3">
        <f t="array" ref="J103">SUM(IF(J$2:J$99=$A103,1))</f>
        <v>4</v>
      </c>
      <c r="K103" s="3">
        <f t="array" ref="K103">SUM(IF(K$2:K$99=$A103,1))</f>
        <v>5</v>
      </c>
      <c r="L103" s="3">
        <f t="array" ref="L103">SUM(IF(L$2:L$99=$A103,1))</f>
        <v>0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1</v>
      </c>
      <c r="P103" s="3">
        <f t="array" ref="P103">SUM(IF(P$2:P$99=$A103,1))</f>
        <v>1</v>
      </c>
    </row>
    <row r="104" ht="12.75" customHeight="1">
      <c r="A104" s="2" t="s">
        <v>15</v>
      </c>
      <c r="B104" s="3">
        <f t="array" ref="B104">SUM(IF(B$2:B$99=$A104,1))</f>
        <v>9</v>
      </c>
      <c r="C104" s="3">
        <f t="array" ref="C104">SUM(IF(C$2:C$99=$A104,1))</f>
        <v>16</v>
      </c>
      <c r="D104" s="3">
        <f t="array" ref="D104">SUM(IF(D$2:D$99=$A104,1))</f>
        <v>14</v>
      </c>
      <c r="E104" s="3">
        <f t="array" ref="E104">SUM(IF(E$2:E$99=$A104,1))</f>
        <v>10</v>
      </c>
      <c r="F104" s="3">
        <f t="array" ref="F104">SUM(IF(F$2:F$99=$A104,1))</f>
        <v>18</v>
      </c>
      <c r="G104" s="3">
        <f t="array" ref="G104">SUM(IF(G$2:G$99=$A104,1))</f>
        <v>7</v>
      </c>
      <c r="H104" s="3">
        <f t="array" ref="H104">SUM(IF(H$2:H$99=$A104,1))</f>
        <v>5</v>
      </c>
      <c r="I104" s="3">
        <f t="array" ref="I104">SUM(IF(I$2:I$99=$A104,1))</f>
        <v>6</v>
      </c>
      <c r="J104" s="3">
        <f t="array" ref="J104">SUM(IF(J$2:J$99=$A104,1))</f>
        <v>2</v>
      </c>
      <c r="K104" s="3">
        <f t="array" ref="K104">SUM(IF(K$2:K$99=$A104,1))</f>
        <v>5</v>
      </c>
      <c r="L104" s="3">
        <f t="array" ref="L104">SUM(IF(L$2:L$99=$A104,1))</f>
        <v>0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1</v>
      </c>
      <c r="P104" s="3">
        <f t="array" ref="P104">SUM(IF(P$2:P$99=$A104,1))</f>
        <v>0</v>
      </c>
    </row>
    <row r="105" ht="12.75" customHeight="1">
      <c r="A105" s="2" t="s">
        <v>16</v>
      </c>
      <c r="B105" s="3">
        <f t="array" ref="B105">SUM(IF(B$2:B$99=$A105,1))</f>
        <v>19</v>
      </c>
      <c r="C105" s="3">
        <f t="array" ref="C105">SUM(IF(C$2:C$99=$A105,1))</f>
        <v>15</v>
      </c>
      <c r="D105" s="3">
        <f t="array" ref="D105">SUM(IF(D$2:D$99=$A105,1))</f>
        <v>15</v>
      </c>
      <c r="E105" s="3">
        <f t="array" ref="E105">SUM(IF(E$2:E$99=$A105,1))</f>
        <v>18</v>
      </c>
      <c r="F105" s="3">
        <f t="array" ref="F105">SUM(IF(F$2:F$99=$A105,1))</f>
        <v>12</v>
      </c>
      <c r="G105" s="3">
        <f t="array" ref="G105">SUM(IF(G$2:G$99=$A105,1))</f>
        <v>8</v>
      </c>
      <c r="H105" s="3">
        <f t="array" ref="H105">SUM(IF(H$2:H$99=$A105,1))</f>
        <v>7</v>
      </c>
      <c r="I105" s="3">
        <f t="array" ref="I105">SUM(IF(I$2:I$99=$A105,1))</f>
        <v>7</v>
      </c>
      <c r="J105" s="3">
        <f t="array" ref="J105">SUM(IF(J$2:J$99=$A105,1))</f>
        <v>7</v>
      </c>
      <c r="K105" s="3">
        <f t="array" ref="K105">SUM(IF(K$2:K$99=$A105,1))</f>
        <v>3</v>
      </c>
      <c r="L105" s="3">
        <f t="array" ref="L105">SUM(IF(L$2:L$99=$A105,1))</f>
        <v>0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2</v>
      </c>
      <c r="P105" s="3">
        <f t="array" ref="P105">SUM(IF(P$2:P$99=$A105,1))</f>
        <v>0</v>
      </c>
    </row>
    <row r="106" ht="12.75" customHeight="1">
      <c r="A106" s="4" t="s">
        <v>129</v>
      </c>
      <c r="B106" s="4">
        <f t="shared" ref="B106:P106" si="2">B103+B104*2+B105*3</f>
        <v>79</v>
      </c>
      <c r="C106" s="4">
        <f t="shared" si="2"/>
        <v>89</v>
      </c>
      <c r="D106" s="4">
        <f t="shared" si="2"/>
        <v>80</v>
      </c>
      <c r="E106" s="4">
        <f t="shared" si="2"/>
        <v>89</v>
      </c>
      <c r="F106" s="4">
        <f t="shared" si="2"/>
        <v>88</v>
      </c>
      <c r="G106" s="4">
        <f t="shared" si="2"/>
        <v>44</v>
      </c>
      <c r="H106" s="4">
        <f t="shared" si="2"/>
        <v>32</v>
      </c>
      <c r="I106" s="4">
        <f t="shared" si="2"/>
        <v>37</v>
      </c>
      <c r="J106" s="4">
        <f t="shared" si="2"/>
        <v>29</v>
      </c>
      <c r="K106" s="4">
        <f t="shared" si="2"/>
        <v>24</v>
      </c>
      <c r="L106" s="4">
        <f t="shared" si="2"/>
        <v>0</v>
      </c>
      <c r="M106" s="4">
        <f t="shared" si="2"/>
        <v>0</v>
      </c>
      <c r="N106" s="4">
        <f t="shared" si="2"/>
        <v>0</v>
      </c>
      <c r="O106" s="4">
        <f t="shared" si="2"/>
        <v>9</v>
      </c>
      <c r="P106" s="4">
        <f t="shared" si="2"/>
        <v>1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2" t="s">
        <v>130</v>
      </c>
      <c r="B107" s="11">
        <f t="shared" ref="B107:P107" si="3">IF(B100+B103+B104+B105&lt;&gt;0,B106/(B100+B103+B104+B105),0)</f>
        <v>1.975</v>
      </c>
      <c r="C107" s="11">
        <f t="shared" si="3"/>
        <v>1.369230769</v>
      </c>
      <c r="D107" s="11">
        <f t="shared" si="3"/>
        <v>1.31147541</v>
      </c>
      <c r="E107" s="11">
        <f t="shared" si="3"/>
        <v>1.435483871</v>
      </c>
      <c r="F107" s="11">
        <f t="shared" si="3"/>
        <v>1.257142857</v>
      </c>
      <c r="G107" s="11">
        <f t="shared" si="3"/>
        <v>1.571428571</v>
      </c>
      <c r="H107" s="11">
        <f t="shared" si="3"/>
        <v>1.6</v>
      </c>
      <c r="I107" s="11">
        <f t="shared" si="3"/>
        <v>1.37037037</v>
      </c>
      <c r="J107" s="11">
        <f t="shared" si="3"/>
        <v>1.611111111</v>
      </c>
      <c r="K107" s="11">
        <f t="shared" si="3"/>
        <v>1.411764706</v>
      </c>
      <c r="L107" s="11">
        <f t="shared" si="3"/>
        <v>0</v>
      </c>
      <c r="M107" s="11">
        <f t="shared" si="3"/>
        <v>0</v>
      </c>
      <c r="N107" s="11">
        <f t="shared" si="3"/>
        <v>0</v>
      </c>
      <c r="O107" s="11">
        <f t="shared" si="3"/>
        <v>1.8</v>
      </c>
      <c r="P107" s="11">
        <f t="shared" si="3"/>
        <v>0.5</v>
      </c>
    </row>
    <row r="108" ht="13.5" customHeight="1">
      <c r="A108" s="2" t="s">
        <v>131</v>
      </c>
      <c r="B108" s="3">
        <f t="shared" ref="B108:P108" si="4">B102+B101</f>
        <v>81</v>
      </c>
      <c r="C108" s="3">
        <f t="shared" si="4"/>
        <v>81</v>
      </c>
      <c r="D108" s="3">
        <f t="shared" si="4"/>
        <v>81</v>
      </c>
      <c r="E108" s="3">
        <f t="shared" si="4"/>
        <v>81</v>
      </c>
      <c r="F108" s="3">
        <f t="shared" si="4"/>
        <v>81</v>
      </c>
      <c r="G108" s="3">
        <f t="shared" si="4"/>
        <v>81</v>
      </c>
      <c r="H108" s="3">
        <f t="shared" si="4"/>
        <v>81</v>
      </c>
      <c r="I108" s="3">
        <f t="shared" si="4"/>
        <v>81</v>
      </c>
      <c r="J108" s="3">
        <f t="shared" si="4"/>
        <v>81</v>
      </c>
      <c r="K108" s="3">
        <f t="shared" si="4"/>
        <v>81</v>
      </c>
      <c r="L108" s="3">
        <f t="shared" si="4"/>
        <v>81</v>
      </c>
      <c r="M108" s="3">
        <f t="shared" si="4"/>
        <v>81</v>
      </c>
      <c r="N108" s="3">
        <f t="shared" si="4"/>
        <v>81</v>
      </c>
      <c r="O108" s="3">
        <f t="shared" si="4"/>
        <v>81</v>
      </c>
      <c r="P108" s="3">
        <f t="shared" si="4"/>
        <v>81</v>
      </c>
    </row>
    <row r="109" ht="12.75" customHeight="1"/>
    <row r="110" ht="12.75" customHeight="1">
      <c r="A110" s="2" t="s">
        <v>132</v>
      </c>
      <c r="B110" s="3">
        <f>B106+G106+I106+J106</f>
        <v>189</v>
      </c>
      <c r="D110" s="2" t="s">
        <v>133</v>
      </c>
      <c r="E110" s="12">
        <f>B106+G106</f>
        <v>123</v>
      </c>
      <c r="G110" s="2" t="s">
        <v>134</v>
      </c>
      <c r="I110" s="2" t="s">
        <v>135</v>
      </c>
      <c r="J110" s="12">
        <f>B102+G102+I102+J102</f>
        <v>113</v>
      </c>
      <c r="K110" s="2" t="s">
        <v>136</v>
      </c>
      <c r="L110" s="3">
        <f>I106+J106</f>
        <v>66</v>
      </c>
      <c r="M110" s="3"/>
      <c r="N110" s="11">
        <f t="shared" ref="N110:N112" si="5">B110/J110</f>
        <v>1.672566372</v>
      </c>
    </row>
    <row r="111" ht="12.75" customHeight="1">
      <c r="A111" s="2" t="s">
        <v>137</v>
      </c>
      <c r="B111" s="3">
        <f>C106+E106+L106+H106</f>
        <v>210</v>
      </c>
      <c r="D111" s="2" t="s">
        <v>138</v>
      </c>
      <c r="E111" s="3">
        <f>L106</f>
        <v>0</v>
      </c>
      <c r="G111" s="2" t="s">
        <v>139</v>
      </c>
      <c r="I111" s="2" t="s">
        <v>135</v>
      </c>
      <c r="J111" s="12">
        <f>C102+E102+L102+H102</f>
        <v>149</v>
      </c>
      <c r="K111" s="2" t="s">
        <v>136</v>
      </c>
      <c r="L111" s="12">
        <f>C106+E106+H106</f>
        <v>210</v>
      </c>
      <c r="M111" s="12"/>
      <c r="N111" s="11">
        <f t="shared" si="5"/>
        <v>1.409395973</v>
      </c>
    </row>
    <row r="112" ht="12.75" customHeight="1">
      <c r="A112" s="2" t="s">
        <v>140</v>
      </c>
      <c r="B112" s="3">
        <f>D106+F106+K106+N106</f>
        <v>192</v>
      </c>
      <c r="D112" s="2" t="s">
        <v>141</v>
      </c>
      <c r="E112" s="3">
        <f>K106+N106</f>
        <v>24</v>
      </c>
      <c r="G112" s="2" t="s">
        <v>142</v>
      </c>
      <c r="I112" s="2" t="s">
        <v>135</v>
      </c>
      <c r="J112" s="12">
        <f>D102+F102+K102+N102</f>
        <v>149</v>
      </c>
      <c r="K112" s="2" t="s">
        <v>136</v>
      </c>
      <c r="L112" s="3">
        <f>D106+F106</f>
        <v>168</v>
      </c>
      <c r="M112" s="3"/>
      <c r="N112" s="11">
        <f t="shared" si="5"/>
        <v>1.288590604</v>
      </c>
    </row>
    <row r="113" ht="12.75" customHeight="1"/>
    <row r="114" ht="12.75" customHeight="1">
      <c r="A114" s="2" t="s">
        <v>143</v>
      </c>
      <c r="B114" s="3">
        <f>C106+D106+E106+F106+H106+I106+B115</f>
        <v>572</v>
      </c>
    </row>
    <row r="115" ht="12.75" customHeight="1">
      <c r="A115" s="2" t="s">
        <v>144</v>
      </c>
      <c r="B115" s="3">
        <f>B106+G106+L106+O106+K106+N106+P106</f>
        <v>157</v>
      </c>
    </row>
    <row r="116" ht="12.75" customHeight="1"/>
    <row r="117" ht="12.75" customHeight="1">
      <c r="A117" s="5" t="s">
        <v>145</v>
      </c>
      <c r="B117" s="5" t="s">
        <v>199</v>
      </c>
    </row>
    <row r="118" ht="12.75" customHeight="1"/>
    <row r="119" ht="12.75" customHeight="1">
      <c r="A119" s="2" t="s">
        <v>146</v>
      </c>
      <c r="B119" s="2">
        <v>1.0</v>
      </c>
      <c r="C119" s="2">
        <v>2.0</v>
      </c>
      <c r="D119" s="2">
        <v>0.0</v>
      </c>
      <c r="E119" s="2">
        <v>1.0</v>
      </c>
      <c r="F119" s="2">
        <v>0.0</v>
      </c>
      <c r="G119" s="2">
        <v>0.0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N119" s="2">
        <v>0.0</v>
      </c>
      <c r="O119" s="2">
        <v>0.0</v>
      </c>
      <c r="P119" s="2">
        <v>0.0</v>
      </c>
    </row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82"/>
  <conditionalFormatting sqref="B2:P82 B99:P107 N110:N112">
    <cfRule type="cellIs" dxfId="0" priority="1" stopIfTrue="1" operator="equal">
      <formula>"PLATA"</formula>
    </cfRule>
  </conditionalFormatting>
  <conditionalFormatting sqref="B2:P82 B99:P107 N110:N112">
    <cfRule type="cellIs" dxfId="1" priority="2" stopIfTrue="1" operator="equal">
      <formula>"ORO"</formula>
    </cfRule>
  </conditionalFormatting>
  <conditionalFormatting sqref="B2:P82 B99:P107 N110:N112">
    <cfRule type="cellIs" dxfId="2" priority="3" stopIfTrue="1" operator="equal">
      <formula>"BRONCE"</formula>
    </cfRule>
  </conditionalFormatting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2" width="13.25"/>
    <col customWidth="1" min="3" max="3" width="9.88"/>
    <col customWidth="1" min="4" max="4" width="9.63"/>
    <col customWidth="1" min="5" max="5" width="9.88"/>
    <col customWidth="1" min="6" max="6" width="9.75"/>
    <col customWidth="1" min="7" max="8" width="9.88"/>
    <col customWidth="1" min="9" max="9" width="9.63"/>
    <col customWidth="1" min="10" max="10" width="9.25"/>
    <col customWidth="1" min="11" max="11" width="9.38"/>
    <col customWidth="1" min="12" max="13" width="9.25"/>
    <col customWidth="1" min="14" max="14" width="9.38"/>
    <col customWidth="1" min="15" max="15" width="9.88"/>
    <col customWidth="1" min="16" max="16" width="10.88"/>
    <col customWidth="1" min="17" max="26" width="10.75"/>
  </cols>
  <sheetData>
    <row r="1" ht="12.75" customHeight="1">
      <c r="A1" s="14">
        <v>2012.0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150</v>
      </c>
      <c r="P1" s="2" t="s">
        <v>151</v>
      </c>
    </row>
    <row r="2" ht="12.75" customHeight="1">
      <c r="A2" s="2" t="s">
        <v>200</v>
      </c>
      <c r="B2" s="3" t="s">
        <v>15</v>
      </c>
      <c r="C2" s="3" t="s">
        <v>90</v>
      </c>
      <c r="D2" s="3" t="s">
        <v>90</v>
      </c>
      <c r="E2" s="3" t="s">
        <v>90</v>
      </c>
      <c r="F2" s="3" t="s">
        <v>15</v>
      </c>
      <c r="G2" s="3" t="s">
        <v>16</v>
      </c>
      <c r="H2" s="3" t="s">
        <v>90</v>
      </c>
      <c r="I2" s="3" t="s">
        <v>89</v>
      </c>
      <c r="J2" s="3" t="s">
        <v>89</v>
      </c>
      <c r="K2" s="3" t="s">
        <v>90</v>
      </c>
      <c r="L2" s="3" t="s">
        <v>90</v>
      </c>
      <c r="M2" s="3" t="s">
        <v>90</v>
      </c>
      <c r="N2" s="3" t="s">
        <v>90</v>
      </c>
      <c r="O2" s="3" t="s">
        <v>89</v>
      </c>
      <c r="P2" s="3" t="s">
        <v>90</v>
      </c>
    </row>
    <row r="3" ht="12.75" customHeight="1">
      <c r="A3" s="2" t="s">
        <v>201</v>
      </c>
      <c r="B3" s="3" t="s">
        <v>15</v>
      </c>
      <c r="C3" s="3" t="s">
        <v>90</v>
      </c>
      <c r="D3" s="3" t="s">
        <v>16</v>
      </c>
      <c r="E3" s="3" t="s">
        <v>90</v>
      </c>
      <c r="F3" s="3" t="s">
        <v>15</v>
      </c>
      <c r="G3" s="3" t="s">
        <v>16</v>
      </c>
      <c r="H3" s="3" t="s">
        <v>90</v>
      </c>
      <c r="I3" s="3" t="s">
        <v>90</v>
      </c>
      <c r="J3" s="3" t="s">
        <v>90</v>
      </c>
      <c r="K3" s="3" t="s">
        <v>90</v>
      </c>
      <c r="L3" s="3" t="s">
        <v>90</v>
      </c>
      <c r="M3" s="3" t="s">
        <v>90</v>
      </c>
      <c r="N3" s="3" t="s">
        <v>90</v>
      </c>
      <c r="O3" s="3" t="s">
        <v>90</v>
      </c>
      <c r="P3" s="3" t="s">
        <v>90</v>
      </c>
    </row>
    <row r="4" ht="12.75" customHeight="1">
      <c r="A4" s="2" t="s">
        <v>202</v>
      </c>
      <c r="B4" s="3" t="s">
        <v>16</v>
      </c>
      <c r="C4" s="3" t="s">
        <v>90</v>
      </c>
      <c r="D4" s="3" t="s">
        <v>15</v>
      </c>
      <c r="E4" s="3" t="s">
        <v>90</v>
      </c>
      <c r="F4" s="3" t="s">
        <v>16</v>
      </c>
      <c r="G4" s="3" t="s">
        <v>15</v>
      </c>
      <c r="H4" s="3" t="s">
        <v>90</v>
      </c>
      <c r="I4" s="3" t="s">
        <v>90</v>
      </c>
      <c r="J4" s="3" t="s">
        <v>90</v>
      </c>
      <c r="K4" s="3" t="s">
        <v>90</v>
      </c>
      <c r="L4" s="3" t="s">
        <v>90</v>
      </c>
      <c r="M4" s="3" t="s">
        <v>90</v>
      </c>
      <c r="N4" s="3" t="s">
        <v>90</v>
      </c>
      <c r="O4" s="3" t="s">
        <v>90</v>
      </c>
      <c r="P4" s="3" t="s">
        <v>90</v>
      </c>
    </row>
    <row r="5" ht="12.75" customHeight="1">
      <c r="A5" s="2" t="s">
        <v>203</v>
      </c>
      <c r="B5" s="3" t="s">
        <v>90</v>
      </c>
      <c r="C5" s="3" t="s">
        <v>90</v>
      </c>
      <c r="D5" s="3" t="s">
        <v>90</v>
      </c>
      <c r="E5" s="3" t="s">
        <v>90</v>
      </c>
      <c r="F5" s="3" t="s">
        <v>90</v>
      </c>
      <c r="G5" s="3" t="s">
        <v>90</v>
      </c>
      <c r="H5" s="3" t="s">
        <v>17</v>
      </c>
      <c r="I5" s="3" t="s">
        <v>16</v>
      </c>
      <c r="J5" s="3" t="s">
        <v>15</v>
      </c>
      <c r="K5" s="3" t="s">
        <v>90</v>
      </c>
      <c r="L5" s="3" t="s">
        <v>90</v>
      </c>
      <c r="M5" s="3" t="s">
        <v>90</v>
      </c>
      <c r="N5" s="3" t="s">
        <v>90</v>
      </c>
      <c r="O5" s="3" t="s">
        <v>90</v>
      </c>
      <c r="P5" s="3" t="s">
        <v>90</v>
      </c>
    </row>
    <row r="6" ht="12.75" customHeight="1">
      <c r="A6" s="2" t="s">
        <v>204</v>
      </c>
      <c r="B6" s="3" t="s">
        <v>16</v>
      </c>
      <c r="C6" s="3" t="s">
        <v>89</v>
      </c>
      <c r="D6" s="3" t="s">
        <v>17</v>
      </c>
      <c r="E6" s="3" t="s">
        <v>15</v>
      </c>
      <c r="F6" s="3" t="s">
        <v>89</v>
      </c>
      <c r="G6" s="3" t="s">
        <v>90</v>
      </c>
      <c r="H6" s="3" t="s">
        <v>90</v>
      </c>
      <c r="I6" s="3" t="s">
        <v>90</v>
      </c>
      <c r="J6" s="3" t="s">
        <v>90</v>
      </c>
      <c r="K6" s="3" t="s">
        <v>90</v>
      </c>
      <c r="L6" s="3" t="s">
        <v>90</v>
      </c>
      <c r="M6" s="3" t="s">
        <v>90</v>
      </c>
      <c r="N6" s="3" t="s">
        <v>90</v>
      </c>
      <c r="O6" s="3" t="s">
        <v>90</v>
      </c>
      <c r="P6" s="3" t="s">
        <v>90</v>
      </c>
    </row>
    <row r="7" ht="12.75" customHeight="1">
      <c r="A7" s="2" t="s">
        <v>205</v>
      </c>
      <c r="B7" s="3" t="s">
        <v>89</v>
      </c>
      <c r="C7" s="3" t="s">
        <v>89</v>
      </c>
      <c r="D7" s="3" t="s">
        <v>89</v>
      </c>
      <c r="E7" s="3" t="s">
        <v>89</v>
      </c>
      <c r="F7" s="3" t="s">
        <v>16</v>
      </c>
      <c r="G7" s="3" t="s">
        <v>90</v>
      </c>
      <c r="H7" s="3" t="s">
        <v>89</v>
      </c>
      <c r="I7" s="3" t="s">
        <v>15</v>
      </c>
      <c r="J7" s="3" t="s">
        <v>90</v>
      </c>
      <c r="K7" s="3" t="s">
        <v>90</v>
      </c>
      <c r="L7" s="3" t="s">
        <v>90</v>
      </c>
      <c r="M7" s="3" t="s">
        <v>90</v>
      </c>
      <c r="N7" s="3" t="s">
        <v>90</v>
      </c>
      <c r="O7" s="3" t="s">
        <v>90</v>
      </c>
      <c r="P7" s="3" t="s">
        <v>90</v>
      </c>
    </row>
    <row r="8" ht="12.75" customHeight="1">
      <c r="A8" s="2" t="s">
        <v>206</v>
      </c>
      <c r="B8" s="3" t="s">
        <v>17</v>
      </c>
      <c r="C8" s="3" t="s">
        <v>15</v>
      </c>
      <c r="D8" s="3" t="s">
        <v>89</v>
      </c>
      <c r="E8" s="3" t="s">
        <v>89</v>
      </c>
      <c r="F8" s="3" t="s">
        <v>89</v>
      </c>
      <c r="G8" s="3" t="s">
        <v>90</v>
      </c>
      <c r="H8" s="3" t="s">
        <v>16</v>
      </c>
      <c r="I8" s="3" t="s">
        <v>89</v>
      </c>
      <c r="J8" s="3" t="s">
        <v>90</v>
      </c>
      <c r="K8" s="3" t="s">
        <v>90</v>
      </c>
      <c r="L8" s="3" t="s">
        <v>90</v>
      </c>
      <c r="M8" s="3" t="s">
        <v>90</v>
      </c>
      <c r="N8" s="3" t="s">
        <v>90</v>
      </c>
      <c r="O8" s="3" t="s">
        <v>90</v>
      </c>
      <c r="P8" s="3" t="s">
        <v>90</v>
      </c>
    </row>
    <row r="9" ht="12.75" customHeight="1">
      <c r="A9" s="2" t="s">
        <v>207</v>
      </c>
      <c r="B9" s="3" t="s">
        <v>89</v>
      </c>
      <c r="C9" s="3" t="s">
        <v>15</v>
      </c>
      <c r="D9" s="3" t="s">
        <v>17</v>
      </c>
      <c r="E9" s="3" t="s">
        <v>16</v>
      </c>
      <c r="F9" s="3" t="s">
        <v>89</v>
      </c>
      <c r="G9" s="3" t="s">
        <v>90</v>
      </c>
      <c r="H9" s="3" t="s">
        <v>90</v>
      </c>
      <c r="I9" s="3" t="s">
        <v>90</v>
      </c>
      <c r="J9" s="3" t="s">
        <v>90</v>
      </c>
      <c r="K9" s="3" t="s">
        <v>90</v>
      </c>
      <c r="L9" s="3" t="s">
        <v>90</v>
      </c>
      <c r="M9" s="3" t="s">
        <v>90</v>
      </c>
      <c r="N9" s="3" t="s">
        <v>90</v>
      </c>
      <c r="O9" s="3" t="s">
        <v>90</v>
      </c>
      <c r="P9" s="3" t="s">
        <v>90</v>
      </c>
    </row>
    <row r="10" ht="12.75" customHeight="1">
      <c r="A10" s="2" t="s">
        <v>92</v>
      </c>
      <c r="B10" s="3" t="s">
        <v>90</v>
      </c>
      <c r="C10" s="3" t="s">
        <v>15</v>
      </c>
      <c r="D10" s="3" t="s">
        <v>15</v>
      </c>
      <c r="E10" s="3" t="s">
        <v>16</v>
      </c>
      <c r="F10" s="3" t="s">
        <v>17</v>
      </c>
      <c r="G10" s="3" t="s">
        <v>90</v>
      </c>
      <c r="H10" s="3" t="s">
        <v>90</v>
      </c>
      <c r="I10" s="3" t="s">
        <v>90</v>
      </c>
      <c r="J10" s="3" t="s">
        <v>89</v>
      </c>
      <c r="K10" s="3" t="s">
        <v>90</v>
      </c>
      <c r="L10" s="3" t="s">
        <v>90</v>
      </c>
      <c r="M10" s="3" t="s">
        <v>90</v>
      </c>
      <c r="N10" s="3" t="s">
        <v>90</v>
      </c>
      <c r="O10" s="3" t="s">
        <v>90</v>
      </c>
      <c r="P10" s="3" t="s">
        <v>90</v>
      </c>
    </row>
    <row r="11" ht="12.75" customHeight="1">
      <c r="A11" s="2" t="s">
        <v>208</v>
      </c>
      <c r="B11" s="3" t="s">
        <v>15</v>
      </c>
      <c r="C11" s="3" t="s">
        <v>17</v>
      </c>
      <c r="D11" s="3" t="s">
        <v>89</v>
      </c>
      <c r="E11" s="3" t="s">
        <v>16</v>
      </c>
      <c r="F11" s="3" t="s">
        <v>89</v>
      </c>
      <c r="G11" s="3" t="s">
        <v>90</v>
      </c>
      <c r="H11" s="3" t="s">
        <v>90</v>
      </c>
      <c r="I11" s="3" t="s">
        <v>90</v>
      </c>
      <c r="J11" s="3" t="s">
        <v>90</v>
      </c>
      <c r="K11" s="3" t="s">
        <v>90</v>
      </c>
      <c r="L11" s="3" t="s">
        <v>90</v>
      </c>
      <c r="M11" s="3" t="s">
        <v>90</v>
      </c>
      <c r="N11" s="3" t="s">
        <v>90</v>
      </c>
      <c r="O11" s="3" t="s">
        <v>90</v>
      </c>
      <c r="P11" s="3" t="s">
        <v>90</v>
      </c>
    </row>
    <row r="12" ht="12.75" customHeight="1">
      <c r="A12" s="2" t="s">
        <v>196</v>
      </c>
      <c r="B12" s="3" t="s">
        <v>90</v>
      </c>
      <c r="C12" s="3" t="s">
        <v>90</v>
      </c>
      <c r="D12" s="3" t="s">
        <v>15</v>
      </c>
      <c r="E12" s="3" t="s">
        <v>16</v>
      </c>
      <c r="F12" s="3" t="s">
        <v>17</v>
      </c>
      <c r="G12" s="3" t="s">
        <v>90</v>
      </c>
      <c r="H12" s="3" t="s">
        <v>90</v>
      </c>
      <c r="I12" s="3" t="s">
        <v>90</v>
      </c>
      <c r="J12" s="3" t="s">
        <v>90</v>
      </c>
      <c r="K12" s="3" t="s">
        <v>90</v>
      </c>
      <c r="L12" s="3" t="s">
        <v>90</v>
      </c>
      <c r="M12" s="3" t="s">
        <v>90</v>
      </c>
      <c r="N12" s="3" t="s">
        <v>90</v>
      </c>
      <c r="O12" s="3" t="s">
        <v>90</v>
      </c>
      <c r="P12" s="3" t="s">
        <v>90</v>
      </c>
    </row>
    <row r="13" ht="12.75" customHeight="1">
      <c r="A13" s="2" t="s">
        <v>209</v>
      </c>
      <c r="B13" s="3" t="s">
        <v>90</v>
      </c>
      <c r="C13" s="3" t="s">
        <v>90</v>
      </c>
      <c r="D13" s="3" t="s">
        <v>90</v>
      </c>
      <c r="E13" s="3" t="s">
        <v>90</v>
      </c>
      <c r="F13" s="3" t="s">
        <v>90</v>
      </c>
      <c r="G13" s="3" t="s">
        <v>90</v>
      </c>
      <c r="H13" s="3" t="s">
        <v>16</v>
      </c>
      <c r="I13" s="3" t="s">
        <v>17</v>
      </c>
      <c r="J13" s="3" t="s">
        <v>15</v>
      </c>
      <c r="K13" s="3" t="s">
        <v>90</v>
      </c>
      <c r="L13" s="3" t="s">
        <v>90</v>
      </c>
      <c r="M13" s="3" t="s">
        <v>90</v>
      </c>
      <c r="N13" s="3" t="s">
        <v>90</v>
      </c>
      <c r="O13" s="3" t="s">
        <v>90</v>
      </c>
      <c r="P13" s="3" t="s">
        <v>90</v>
      </c>
    </row>
    <row r="14" ht="12.75" customHeight="1">
      <c r="A14" s="2" t="s">
        <v>210</v>
      </c>
      <c r="B14" s="3" t="s">
        <v>90</v>
      </c>
      <c r="C14" s="3" t="s">
        <v>90</v>
      </c>
      <c r="D14" s="3" t="s">
        <v>90</v>
      </c>
      <c r="E14" s="3" t="s">
        <v>90</v>
      </c>
      <c r="F14" s="3" t="s">
        <v>90</v>
      </c>
      <c r="G14" s="3" t="s">
        <v>90</v>
      </c>
      <c r="H14" s="3" t="s">
        <v>16</v>
      </c>
      <c r="I14" s="3" t="s">
        <v>15</v>
      </c>
      <c r="J14" s="3" t="s">
        <v>17</v>
      </c>
      <c r="K14" s="3" t="s">
        <v>90</v>
      </c>
      <c r="L14" s="3" t="s">
        <v>90</v>
      </c>
      <c r="M14" s="3" t="s">
        <v>90</v>
      </c>
      <c r="N14" s="3" t="s">
        <v>90</v>
      </c>
      <c r="O14" s="3" t="s">
        <v>90</v>
      </c>
      <c r="P14" s="3" t="s">
        <v>90</v>
      </c>
    </row>
    <row r="15" ht="12.75" customHeight="1">
      <c r="A15" s="2" t="s">
        <v>211</v>
      </c>
      <c r="B15" s="3" t="s">
        <v>16</v>
      </c>
      <c r="C15" s="3" t="s">
        <v>17</v>
      </c>
      <c r="D15" s="3" t="s">
        <v>90</v>
      </c>
      <c r="E15" s="3" t="s">
        <v>15</v>
      </c>
      <c r="F15" s="3" t="s">
        <v>89</v>
      </c>
      <c r="G15" s="3" t="s">
        <v>90</v>
      </c>
      <c r="H15" s="3" t="s">
        <v>90</v>
      </c>
      <c r="I15" s="3" t="s">
        <v>90</v>
      </c>
      <c r="J15" s="3" t="s">
        <v>90</v>
      </c>
      <c r="K15" s="3" t="s">
        <v>90</v>
      </c>
      <c r="L15" s="3" t="s">
        <v>90</v>
      </c>
      <c r="M15" s="3" t="s">
        <v>90</v>
      </c>
      <c r="N15" s="3" t="s">
        <v>90</v>
      </c>
      <c r="O15" s="3" t="s">
        <v>90</v>
      </c>
      <c r="P15" s="3" t="s">
        <v>90</v>
      </c>
    </row>
    <row r="16" ht="12.75" customHeight="1">
      <c r="A16" s="2" t="s">
        <v>18</v>
      </c>
      <c r="B16" s="3" t="s">
        <v>16</v>
      </c>
      <c r="C16" s="3" t="s">
        <v>89</v>
      </c>
      <c r="D16" s="3" t="s">
        <v>90</v>
      </c>
      <c r="E16" s="3" t="s">
        <v>16</v>
      </c>
      <c r="F16" s="3" t="s">
        <v>89</v>
      </c>
      <c r="G16" s="3" t="s">
        <v>89</v>
      </c>
      <c r="H16" s="3" t="s">
        <v>90</v>
      </c>
      <c r="I16" s="3" t="s">
        <v>90</v>
      </c>
      <c r="J16" s="3" t="s">
        <v>90</v>
      </c>
      <c r="K16" s="3" t="s">
        <v>90</v>
      </c>
      <c r="L16" s="3" t="s">
        <v>16</v>
      </c>
      <c r="M16" s="3" t="s">
        <v>90</v>
      </c>
      <c r="N16" s="3" t="s">
        <v>90</v>
      </c>
      <c r="O16" s="3" t="s">
        <v>90</v>
      </c>
      <c r="P16" s="3" t="s">
        <v>90</v>
      </c>
    </row>
    <row r="17" ht="12.75" customHeight="1">
      <c r="A17" s="2">
        <v>-1.0</v>
      </c>
      <c r="B17" s="3" t="s">
        <v>15</v>
      </c>
      <c r="C17" s="3" t="s">
        <v>89</v>
      </c>
      <c r="D17" s="3" t="s">
        <v>90</v>
      </c>
      <c r="E17" s="3" t="s">
        <v>90</v>
      </c>
      <c r="F17" s="3" t="s">
        <v>17</v>
      </c>
      <c r="G17" s="3" t="s">
        <v>16</v>
      </c>
      <c r="H17" s="3" t="s">
        <v>90</v>
      </c>
      <c r="I17" s="3" t="s">
        <v>90</v>
      </c>
      <c r="J17" s="3" t="s">
        <v>90</v>
      </c>
      <c r="K17" s="3" t="s">
        <v>90</v>
      </c>
      <c r="L17" s="3" t="s">
        <v>90</v>
      </c>
      <c r="M17" s="3" t="s">
        <v>90</v>
      </c>
      <c r="N17" s="3" t="s">
        <v>90</v>
      </c>
      <c r="O17" s="3" t="s">
        <v>90</v>
      </c>
      <c r="P17" s="3" t="s">
        <v>90</v>
      </c>
    </row>
    <row r="18" ht="12.75" customHeight="1">
      <c r="A18" s="2" t="s">
        <v>121</v>
      </c>
      <c r="B18" s="3" t="s">
        <v>90</v>
      </c>
      <c r="C18" s="3" t="s">
        <v>15</v>
      </c>
      <c r="D18" s="3" t="s">
        <v>90</v>
      </c>
      <c r="E18" s="3" t="s">
        <v>17</v>
      </c>
      <c r="F18" s="3" t="s">
        <v>16</v>
      </c>
      <c r="G18" s="3" t="s">
        <v>90</v>
      </c>
      <c r="H18" s="3" t="s">
        <v>90</v>
      </c>
      <c r="I18" s="3" t="s">
        <v>90</v>
      </c>
      <c r="J18" s="3" t="s">
        <v>90</v>
      </c>
      <c r="K18" s="3" t="s">
        <v>90</v>
      </c>
      <c r="L18" s="3" t="s">
        <v>90</v>
      </c>
      <c r="M18" s="3" t="s">
        <v>90</v>
      </c>
      <c r="N18" s="3" t="s">
        <v>90</v>
      </c>
      <c r="O18" s="3" t="s">
        <v>90</v>
      </c>
      <c r="P18" s="3" t="s">
        <v>90</v>
      </c>
    </row>
    <row r="19" ht="12.75" customHeight="1">
      <c r="A19" s="2" t="s">
        <v>91</v>
      </c>
      <c r="B19" s="3" t="s">
        <v>16</v>
      </c>
      <c r="C19" s="3" t="s">
        <v>15</v>
      </c>
      <c r="D19" s="3" t="s">
        <v>17</v>
      </c>
      <c r="E19" s="3" t="s">
        <v>17</v>
      </c>
      <c r="F19" s="3" t="s">
        <v>89</v>
      </c>
      <c r="G19" s="3" t="s">
        <v>89</v>
      </c>
      <c r="H19" s="3" t="s">
        <v>90</v>
      </c>
      <c r="I19" s="3" t="s">
        <v>90</v>
      </c>
      <c r="J19" s="3" t="s">
        <v>90</v>
      </c>
      <c r="K19" s="3" t="s">
        <v>90</v>
      </c>
      <c r="L19" s="3" t="s">
        <v>89</v>
      </c>
      <c r="M19" s="3" t="s">
        <v>90</v>
      </c>
      <c r="N19" s="3" t="s">
        <v>90</v>
      </c>
      <c r="O19" s="3" t="s">
        <v>90</v>
      </c>
      <c r="P19" s="3" t="s">
        <v>90</v>
      </c>
    </row>
    <row r="20" ht="12.75" customHeight="1">
      <c r="A20" s="2" t="s">
        <v>212</v>
      </c>
      <c r="B20" s="3" t="s">
        <v>89</v>
      </c>
      <c r="C20" s="3" t="s">
        <v>16</v>
      </c>
      <c r="D20" s="3" t="s">
        <v>90</v>
      </c>
      <c r="E20" s="3" t="s">
        <v>16</v>
      </c>
      <c r="F20" s="3" t="s">
        <v>89</v>
      </c>
      <c r="G20" s="3" t="s">
        <v>89</v>
      </c>
      <c r="H20" s="3" t="s">
        <v>90</v>
      </c>
      <c r="I20" s="3" t="s">
        <v>89</v>
      </c>
      <c r="J20" s="3" t="s">
        <v>89</v>
      </c>
      <c r="K20" s="3" t="s">
        <v>90</v>
      </c>
      <c r="L20" s="3" t="s">
        <v>90</v>
      </c>
      <c r="M20" s="3" t="s">
        <v>90</v>
      </c>
      <c r="N20" s="3" t="s">
        <v>90</v>
      </c>
      <c r="O20" s="3" t="s">
        <v>90</v>
      </c>
      <c r="P20" s="3" t="s">
        <v>90</v>
      </c>
    </row>
    <row r="21" ht="12.75" customHeight="1">
      <c r="A21" s="2" t="s">
        <v>213</v>
      </c>
      <c r="B21" s="3" t="s">
        <v>15</v>
      </c>
      <c r="C21" s="3" t="s">
        <v>16</v>
      </c>
      <c r="D21" s="3" t="s">
        <v>90</v>
      </c>
      <c r="E21" s="3" t="s">
        <v>89</v>
      </c>
      <c r="F21" s="3" t="s">
        <v>89</v>
      </c>
      <c r="G21" s="3" t="s">
        <v>90</v>
      </c>
      <c r="H21" s="3" t="s">
        <v>90</v>
      </c>
      <c r="I21" s="3" t="s">
        <v>90</v>
      </c>
      <c r="J21" s="3" t="s">
        <v>17</v>
      </c>
      <c r="K21" s="3" t="s">
        <v>90</v>
      </c>
      <c r="L21" s="3" t="s">
        <v>90</v>
      </c>
      <c r="M21" s="3" t="s">
        <v>90</v>
      </c>
      <c r="N21" s="3" t="s">
        <v>90</v>
      </c>
      <c r="O21" s="3" t="s">
        <v>90</v>
      </c>
      <c r="P21" s="3" t="s">
        <v>90</v>
      </c>
    </row>
    <row r="22" ht="12.75" customHeight="1">
      <c r="A22" s="2" t="s">
        <v>214</v>
      </c>
      <c r="B22" s="3" t="s">
        <v>90</v>
      </c>
      <c r="C22" s="3" t="s">
        <v>15</v>
      </c>
      <c r="D22" s="3" t="s">
        <v>89</v>
      </c>
      <c r="E22" s="3" t="s">
        <v>16</v>
      </c>
      <c r="F22" s="3" t="s">
        <v>17</v>
      </c>
      <c r="G22" s="3" t="s">
        <v>90</v>
      </c>
      <c r="H22" s="3" t="s">
        <v>90</v>
      </c>
      <c r="I22" s="3" t="s">
        <v>90</v>
      </c>
      <c r="J22" s="3" t="s">
        <v>90</v>
      </c>
      <c r="K22" s="3" t="s">
        <v>90</v>
      </c>
      <c r="L22" s="3" t="s">
        <v>90</v>
      </c>
      <c r="M22" s="3" t="s">
        <v>90</v>
      </c>
      <c r="N22" s="3" t="s">
        <v>90</v>
      </c>
      <c r="O22" s="3" t="s">
        <v>90</v>
      </c>
      <c r="P22" s="3" t="s">
        <v>90</v>
      </c>
    </row>
    <row r="23" ht="12.75" customHeight="1">
      <c r="A23" s="2" t="s">
        <v>29</v>
      </c>
      <c r="B23" s="3" t="s">
        <v>16</v>
      </c>
      <c r="C23" s="3" t="s">
        <v>89</v>
      </c>
      <c r="D23" s="3" t="s">
        <v>90</v>
      </c>
      <c r="E23" s="3" t="s">
        <v>89</v>
      </c>
      <c r="F23" s="3" t="s">
        <v>16</v>
      </c>
      <c r="G23" s="3" t="s">
        <v>90</v>
      </c>
      <c r="H23" s="3" t="s">
        <v>90</v>
      </c>
      <c r="I23" s="3" t="s">
        <v>90</v>
      </c>
      <c r="J23" s="3" t="s">
        <v>90</v>
      </c>
      <c r="K23" s="3" t="s">
        <v>90</v>
      </c>
      <c r="L23" s="3" t="s">
        <v>90</v>
      </c>
      <c r="M23" s="3" t="s">
        <v>90</v>
      </c>
      <c r="N23" s="3" t="s">
        <v>90</v>
      </c>
      <c r="O23" s="3" t="s">
        <v>90</v>
      </c>
      <c r="P23" s="3" t="s">
        <v>90</v>
      </c>
    </row>
    <row r="24" ht="12.75" customHeight="1">
      <c r="A24" s="2" t="s">
        <v>215</v>
      </c>
      <c r="B24" s="3" t="s">
        <v>16</v>
      </c>
      <c r="C24" s="3" t="s">
        <v>17</v>
      </c>
      <c r="D24" s="3" t="s">
        <v>15</v>
      </c>
      <c r="E24" s="3" t="s">
        <v>89</v>
      </c>
      <c r="F24" s="3" t="s">
        <v>89</v>
      </c>
      <c r="G24" s="3" t="s">
        <v>90</v>
      </c>
      <c r="H24" s="3" t="s">
        <v>90</v>
      </c>
      <c r="I24" s="3" t="s">
        <v>90</v>
      </c>
      <c r="J24" s="3" t="s">
        <v>90</v>
      </c>
      <c r="K24" s="3" t="s">
        <v>90</v>
      </c>
      <c r="L24" s="3" t="s">
        <v>90</v>
      </c>
      <c r="M24" s="3" t="s">
        <v>90</v>
      </c>
      <c r="N24" s="3" t="s">
        <v>90</v>
      </c>
      <c r="O24" s="3" t="s">
        <v>90</v>
      </c>
      <c r="P24" s="3" t="s">
        <v>90</v>
      </c>
    </row>
    <row r="25" ht="12.75" customHeight="1">
      <c r="A25" s="2" t="s">
        <v>31</v>
      </c>
      <c r="B25" s="3" t="s">
        <v>16</v>
      </c>
      <c r="C25" s="3" t="s">
        <v>15</v>
      </c>
      <c r="D25" s="3" t="s">
        <v>90</v>
      </c>
      <c r="E25" s="3" t="s">
        <v>89</v>
      </c>
      <c r="F25" s="3" t="s">
        <v>89</v>
      </c>
      <c r="G25" s="3" t="s">
        <v>17</v>
      </c>
      <c r="H25" s="3" t="s">
        <v>90</v>
      </c>
      <c r="I25" s="3" t="s">
        <v>90</v>
      </c>
      <c r="J25" s="3" t="s">
        <v>90</v>
      </c>
      <c r="K25" s="3" t="s">
        <v>90</v>
      </c>
      <c r="L25" s="3" t="s">
        <v>89</v>
      </c>
      <c r="M25" s="3" t="s">
        <v>90</v>
      </c>
      <c r="N25" s="3" t="s">
        <v>90</v>
      </c>
      <c r="O25" s="3" t="s">
        <v>89</v>
      </c>
      <c r="P25" s="3" t="s">
        <v>90</v>
      </c>
    </row>
    <row r="26" ht="12.75" customHeight="1">
      <c r="A26" s="2" t="s">
        <v>216</v>
      </c>
      <c r="B26" s="3" t="s">
        <v>15</v>
      </c>
      <c r="C26" s="3" t="s">
        <v>16</v>
      </c>
      <c r="D26" s="3" t="s">
        <v>90</v>
      </c>
      <c r="E26" s="3" t="s">
        <v>89</v>
      </c>
      <c r="F26" s="3" t="s">
        <v>89</v>
      </c>
      <c r="G26" s="3" t="s">
        <v>90</v>
      </c>
      <c r="H26" s="3" t="s">
        <v>90</v>
      </c>
      <c r="I26" s="3" t="s">
        <v>90</v>
      </c>
      <c r="J26" s="3" t="s">
        <v>90</v>
      </c>
      <c r="K26" s="3" t="s">
        <v>90</v>
      </c>
      <c r="L26" s="3" t="s">
        <v>90</v>
      </c>
      <c r="M26" s="3" t="s">
        <v>90</v>
      </c>
      <c r="N26" s="3" t="s">
        <v>90</v>
      </c>
      <c r="O26" s="3" t="s">
        <v>90</v>
      </c>
      <c r="P26" s="3" t="s">
        <v>90</v>
      </c>
    </row>
    <row r="27" ht="12.75" customHeight="1">
      <c r="A27" s="2" t="s">
        <v>217</v>
      </c>
      <c r="B27" s="3" t="s">
        <v>16</v>
      </c>
      <c r="C27" s="3" t="s">
        <v>89</v>
      </c>
      <c r="D27" s="3" t="s">
        <v>89</v>
      </c>
      <c r="E27" s="3" t="s">
        <v>89</v>
      </c>
      <c r="F27" s="3" t="s">
        <v>15</v>
      </c>
      <c r="G27" s="3" t="s">
        <v>15</v>
      </c>
      <c r="H27" s="3" t="s">
        <v>90</v>
      </c>
      <c r="I27" s="3" t="s">
        <v>90</v>
      </c>
      <c r="J27" s="3" t="s">
        <v>90</v>
      </c>
      <c r="K27" s="3" t="s">
        <v>90</v>
      </c>
      <c r="L27" s="3" t="s">
        <v>89</v>
      </c>
      <c r="M27" s="3" t="s">
        <v>90</v>
      </c>
      <c r="N27" s="3" t="s">
        <v>90</v>
      </c>
      <c r="O27" s="3" t="s">
        <v>15</v>
      </c>
      <c r="P27" s="3" t="s">
        <v>90</v>
      </c>
    </row>
    <row r="28" ht="12.75" customHeight="1">
      <c r="A28" s="2" t="s">
        <v>218</v>
      </c>
      <c r="B28" s="3" t="s">
        <v>90</v>
      </c>
      <c r="C28" s="3" t="s">
        <v>89</v>
      </c>
      <c r="D28" s="3" t="s">
        <v>89</v>
      </c>
      <c r="E28" s="3" t="s">
        <v>89</v>
      </c>
      <c r="F28" s="3" t="s">
        <v>16</v>
      </c>
      <c r="G28" s="3" t="s">
        <v>90</v>
      </c>
      <c r="H28" s="3" t="s">
        <v>89</v>
      </c>
      <c r="I28" s="3" t="s">
        <v>89</v>
      </c>
      <c r="J28" s="3" t="s">
        <v>16</v>
      </c>
      <c r="K28" s="3" t="s">
        <v>90</v>
      </c>
      <c r="L28" s="3" t="s">
        <v>90</v>
      </c>
      <c r="M28" s="3" t="s">
        <v>90</v>
      </c>
      <c r="N28" s="3" t="s">
        <v>90</v>
      </c>
      <c r="O28" s="3" t="s">
        <v>90</v>
      </c>
      <c r="P28" s="3" t="s">
        <v>90</v>
      </c>
    </row>
    <row r="29" ht="12.75" customHeight="1">
      <c r="A29" s="2" t="s">
        <v>219</v>
      </c>
      <c r="B29" s="3" t="s">
        <v>90</v>
      </c>
      <c r="C29" s="3" t="s">
        <v>90</v>
      </c>
      <c r="D29" s="3" t="s">
        <v>90</v>
      </c>
      <c r="E29" s="3" t="s">
        <v>90</v>
      </c>
      <c r="F29" s="3" t="s">
        <v>90</v>
      </c>
      <c r="G29" s="3" t="s">
        <v>90</v>
      </c>
      <c r="H29" s="3" t="s">
        <v>16</v>
      </c>
      <c r="I29" s="3" t="s">
        <v>15</v>
      </c>
      <c r="J29" s="3" t="s">
        <v>17</v>
      </c>
      <c r="K29" s="3" t="s">
        <v>90</v>
      </c>
      <c r="L29" s="3" t="s">
        <v>90</v>
      </c>
      <c r="M29" s="3" t="s">
        <v>90</v>
      </c>
      <c r="N29" s="3" t="s">
        <v>90</v>
      </c>
      <c r="O29" s="3" t="s">
        <v>90</v>
      </c>
      <c r="P29" s="3" t="s">
        <v>90</v>
      </c>
    </row>
    <row r="30" ht="12.75" customHeight="1">
      <c r="A30" s="2" t="s">
        <v>220</v>
      </c>
      <c r="B30" s="3" t="s">
        <v>90</v>
      </c>
      <c r="C30" s="3" t="s">
        <v>90</v>
      </c>
      <c r="D30" s="3" t="s">
        <v>90</v>
      </c>
      <c r="E30" s="3" t="s">
        <v>90</v>
      </c>
      <c r="F30" s="3" t="s">
        <v>90</v>
      </c>
      <c r="G30" s="3" t="s">
        <v>90</v>
      </c>
      <c r="H30" s="3" t="s">
        <v>15</v>
      </c>
      <c r="I30" s="3" t="s">
        <v>16</v>
      </c>
      <c r="J30" s="3" t="s">
        <v>17</v>
      </c>
      <c r="K30" s="3" t="s">
        <v>90</v>
      </c>
      <c r="L30" s="3" t="s">
        <v>90</v>
      </c>
      <c r="M30" s="3" t="s">
        <v>90</v>
      </c>
      <c r="N30" s="3" t="s">
        <v>90</v>
      </c>
      <c r="O30" s="3" t="s">
        <v>90</v>
      </c>
      <c r="P30" s="3" t="s">
        <v>90</v>
      </c>
    </row>
    <row r="31" ht="12.75" customHeight="1">
      <c r="A31" s="2" t="s">
        <v>221</v>
      </c>
      <c r="B31" s="3" t="s">
        <v>90</v>
      </c>
      <c r="C31" s="3" t="s">
        <v>90</v>
      </c>
      <c r="D31" s="3" t="s">
        <v>90</v>
      </c>
      <c r="E31" s="3" t="s">
        <v>90</v>
      </c>
      <c r="F31" s="3" t="s">
        <v>90</v>
      </c>
      <c r="G31" s="3" t="s">
        <v>90</v>
      </c>
      <c r="H31" s="3" t="s">
        <v>17</v>
      </c>
      <c r="I31" s="3" t="s">
        <v>16</v>
      </c>
      <c r="J31" s="3" t="s">
        <v>15</v>
      </c>
      <c r="K31" s="3" t="s">
        <v>90</v>
      </c>
      <c r="L31" s="3" t="s">
        <v>90</v>
      </c>
      <c r="M31" s="3" t="s">
        <v>90</v>
      </c>
      <c r="N31" s="3" t="s">
        <v>90</v>
      </c>
      <c r="O31" s="3" t="s">
        <v>90</v>
      </c>
      <c r="P31" s="3" t="s">
        <v>90</v>
      </c>
    </row>
    <row r="32" ht="12.75" customHeight="1">
      <c r="A32" s="2" t="s">
        <v>222</v>
      </c>
      <c r="B32" s="3" t="s">
        <v>16</v>
      </c>
      <c r="C32" s="3" t="s">
        <v>89</v>
      </c>
      <c r="D32" s="3" t="s">
        <v>89</v>
      </c>
      <c r="E32" s="3" t="s">
        <v>17</v>
      </c>
      <c r="F32" s="3" t="s">
        <v>89</v>
      </c>
      <c r="G32" s="3" t="s">
        <v>15</v>
      </c>
      <c r="H32" s="3" t="s">
        <v>90</v>
      </c>
      <c r="I32" s="3" t="s">
        <v>90</v>
      </c>
      <c r="J32" s="3" t="s">
        <v>90</v>
      </c>
      <c r="K32" s="3" t="s">
        <v>90</v>
      </c>
      <c r="L32" s="3" t="s">
        <v>90</v>
      </c>
      <c r="M32" s="3" t="s">
        <v>90</v>
      </c>
      <c r="N32" s="3" t="s">
        <v>90</v>
      </c>
      <c r="O32" s="3" t="s">
        <v>90</v>
      </c>
      <c r="P32" s="3" t="s">
        <v>90</v>
      </c>
    </row>
    <row r="33" ht="12.75" customHeight="1">
      <c r="A33" s="2" t="s">
        <v>44</v>
      </c>
      <c r="B33" s="3" t="s">
        <v>90</v>
      </c>
      <c r="C33" s="3" t="s">
        <v>90</v>
      </c>
      <c r="D33" s="3" t="s">
        <v>16</v>
      </c>
      <c r="E33" s="3" t="s">
        <v>90</v>
      </c>
      <c r="F33" s="3" t="s">
        <v>17</v>
      </c>
      <c r="G33" s="3" t="s">
        <v>90</v>
      </c>
      <c r="H33" s="3" t="s">
        <v>89</v>
      </c>
      <c r="I33" s="3" t="s">
        <v>15</v>
      </c>
      <c r="J33" s="3" t="s">
        <v>90</v>
      </c>
      <c r="K33" s="3" t="s">
        <v>90</v>
      </c>
      <c r="L33" s="3" t="s">
        <v>90</v>
      </c>
      <c r="M33" s="3" t="s">
        <v>90</v>
      </c>
      <c r="N33" s="3" t="s">
        <v>90</v>
      </c>
      <c r="O33" s="3" t="s">
        <v>90</v>
      </c>
      <c r="P33" s="3" t="s">
        <v>90</v>
      </c>
    </row>
    <row r="34" ht="12.75" customHeight="1">
      <c r="A34" s="2" t="s">
        <v>23</v>
      </c>
      <c r="B34" s="3" t="s">
        <v>16</v>
      </c>
      <c r="C34" s="3" t="s">
        <v>89</v>
      </c>
      <c r="D34" s="3" t="s">
        <v>17</v>
      </c>
      <c r="E34" s="3" t="s">
        <v>89</v>
      </c>
      <c r="F34" s="3" t="s">
        <v>15</v>
      </c>
      <c r="G34" s="3" t="s">
        <v>90</v>
      </c>
      <c r="H34" s="3" t="s">
        <v>90</v>
      </c>
      <c r="I34" s="3" t="s">
        <v>90</v>
      </c>
      <c r="J34" s="3" t="s">
        <v>90</v>
      </c>
      <c r="K34" s="3" t="s">
        <v>90</v>
      </c>
      <c r="L34" s="3" t="s">
        <v>90</v>
      </c>
      <c r="M34" s="3" t="s">
        <v>90</v>
      </c>
      <c r="N34" s="3" t="s">
        <v>90</v>
      </c>
      <c r="O34" s="3" t="s">
        <v>90</v>
      </c>
      <c r="P34" s="3" t="s">
        <v>90</v>
      </c>
    </row>
    <row r="35" ht="12.75" customHeight="1">
      <c r="A35" s="2" t="s">
        <v>23</v>
      </c>
      <c r="B35" s="3" t="s">
        <v>16</v>
      </c>
      <c r="C35" s="3" t="s">
        <v>89</v>
      </c>
      <c r="D35" s="3" t="s">
        <v>90</v>
      </c>
      <c r="E35" s="3" t="s">
        <v>15</v>
      </c>
      <c r="F35" s="3" t="s">
        <v>89</v>
      </c>
      <c r="G35" s="3" t="s">
        <v>17</v>
      </c>
      <c r="H35" s="3" t="s">
        <v>90</v>
      </c>
      <c r="I35" s="3" t="s">
        <v>90</v>
      </c>
      <c r="J35" s="3" t="s">
        <v>90</v>
      </c>
      <c r="K35" s="3" t="s">
        <v>90</v>
      </c>
      <c r="L35" s="3" t="s">
        <v>90</v>
      </c>
      <c r="M35" s="3" t="s">
        <v>90</v>
      </c>
      <c r="N35" s="3" t="s">
        <v>90</v>
      </c>
      <c r="O35" s="3" t="s">
        <v>90</v>
      </c>
      <c r="P35" s="3" t="s">
        <v>90</v>
      </c>
    </row>
    <row r="36" ht="12.75" customHeight="1">
      <c r="A36" s="2" t="s">
        <v>121</v>
      </c>
      <c r="B36" s="3" t="s">
        <v>15</v>
      </c>
      <c r="C36" s="3" t="s">
        <v>16</v>
      </c>
      <c r="D36" s="3" t="s">
        <v>90</v>
      </c>
      <c r="E36" s="3" t="s">
        <v>89</v>
      </c>
      <c r="F36" s="3" t="s">
        <v>89</v>
      </c>
      <c r="G36" s="3" t="s">
        <v>17</v>
      </c>
      <c r="H36" s="3" t="s">
        <v>90</v>
      </c>
      <c r="I36" s="3" t="s">
        <v>90</v>
      </c>
      <c r="J36" s="3" t="s">
        <v>90</v>
      </c>
      <c r="K36" s="3" t="s">
        <v>90</v>
      </c>
      <c r="L36" s="3" t="s">
        <v>90</v>
      </c>
      <c r="M36" s="3" t="s">
        <v>90</v>
      </c>
      <c r="N36" s="3" t="s">
        <v>90</v>
      </c>
      <c r="O36" s="3" t="s">
        <v>90</v>
      </c>
      <c r="P36" s="3" t="s">
        <v>90</v>
      </c>
    </row>
    <row r="37" ht="12.75" customHeight="1">
      <c r="A37" s="2" t="s">
        <v>121</v>
      </c>
      <c r="B37" s="3" t="s">
        <v>15</v>
      </c>
      <c r="C37" s="3" t="s">
        <v>16</v>
      </c>
      <c r="D37" s="3" t="s">
        <v>90</v>
      </c>
      <c r="E37" s="3" t="s">
        <v>17</v>
      </c>
      <c r="F37" s="3" t="s">
        <v>89</v>
      </c>
      <c r="G37" s="3" t="s">
        <v>90</v>
      </c>
      <c r="H37" s="3" t="s">
        <v>90</v>
      </c>
      <c r="I37" s="3" t="s">
        <v>90</v>
      </c>
      <c r="J37" s="3" t="s">
        <v>90</v>
      </c>
      <c r="K37" s="3" t="s">
        <v>90</v>
      </c>
      <c r="L37" s="3" t="s">
        <v>90</v>
      </c>
      <c r="M37" s="3" t="s">
        <v>90</v>
      </c>
      <c r="N37" s="3" t="s">
        <v>90</v>
      </c>
      <c r="O37" s="3" t="s">
        <v>90</v>
      </c>
      <c r="P37" s="3" t="s">
        <v>90</v>
      </c>
    </row>
    <row r="38" ht="12.75" customHeight="1">
      <c r="A38" s="2" t="s">
        <v>196</v>
      </c>
      <c r="B38" s="3" t="s">
        <v>90</v>
      </c>
      <c r="C38" s="3" t="s">
        <v>90</v>
      </c>
      <c r="D38" s="3" t="s">
        <v>15</v>
      </c>
      <c r="E38" s="3" t="s">
        <v>16</v>
      </c>
      <c r="F38" s="3" t="s">
        <v>17</v>
      </c>
      <c r="G38" s="3" t="s">
        <v>90</v>
      </c>
      <c r="H38" s="3" t="s">
        <v>90</v>
      </c>
      <c r="I38" s="3" t="s">
        <v>90</v>
      </c>
      <c r="J38" s="3" t="s">
        <v>90</v>
      </c>
      <c r="K38" s="3" t="s">
        <v>90</v>
      </c>
      <c r="L38" s="3" t="s">
        <v>90</v>
      </c>
      <c r="M38" s="3" t="s">
        <v>90</v>
      </c>
      <c r="N38" s="3" t="s">
        <v>90</v>
      </c>
      <c r="O38" s="3" t="s">
        <v>90</v>
      </c>
      <c r="P38" s="3" t="s">
        <v>90</v>
      </c>
    </row>
    <row r="39" ht="12.75" customHeight="1">
      <c r="A39" s="2" t="s">
        <v>223</v>
      </c>
      <c r="B39" s="3" t="s">
        <v>17</v>
      </c>
      <c r="C39" s="3" t="s">
        <v>89</v>
      </c>
      <c r="D39" s="3" t="s">
        <v>16</v>
      </c>
      <c r="E39" s="3" t="s">
        <v>89</v>
      </c>
      <c r="F39" s="3" t="s">
        <v>15</v>
      </c>
      <c r="G39" s="3" t="s">
        <v>90</v>
      </c>
      <c r="H39" s="3" t="s">
        <v>90</v>
      </c>
      <c r="I39" s="3" t="s">
        <v>17</v>
      </c>
      <c r="J39" s="3" t="s">
        <v>89</v>
      </c>
      <c r="K39" s="3" t="s">
        <v>90</v>
      </c>
      <c r="L39" s="3" t="s">
        <v>90</v>
      </c>
      <c r="M39" s="3" t="s">
        <v>90</v>
      </c>
      <c r="N39" s="3" t="s">
        <v>90</v>
      </c>
      <c r="O39" s="3" t="s">
        <v>90</v>
      </c>
      <c r="P39" s="3" t="s">
        <v>90</v>
      </c>
    </row>
    <row r="40" ht="12.75" customHeight="1">
      <c r="A40" s="2" t="s">
        <v>224</v>
      </c>
      <c r="B40" s="3" t="s">
        <v>16</v>
      </c>
      <c r="C40" s="3" t="s">
        <v>89</v>
      </c>
      <c r="D40" s="3" t="s">
        <v>15</v>
      </c>
      <c r="E40" s="3" t="s">
        <v>17</v>
      </c>
      <c r="F40" s="3" t="s">
        <v>90</v>
      </c>
      <c r="G40" s="3" t="s">
        <v>90</v>
      </c>
      <c r="H40" s="3" t="s">
        <v>90</v>
      </c>
      <c r="I40" s="3" t="s">
        <v>90</v>
      </c>
      <c r="J40" s="3" t="s">
        <v>90</v>
      </c>
      <c r="K40" s="3" t="s">
        <v>90</v>
      </c>
      <c r="L40" s="3" t="s">
        <v>90</v>
      </c>
      <c r="M40" s="3" t="s">
        <v>90</v>
      </c>
      <c r="N40" s="3" t="s">
        <v>90</v>
      </c>
      <c r="O40" s="3" t="s">
        <v>90</v>
      </c>
      <c r="P40" s="3" t="s">
        <v>90</v>
      </c>
    </row>
    <row r="41" ht="12.75" customHeight="1">
      <c r="A41" s="2" t="s">
        <v>225</v>
      </c>
      <c r="B41" s="3" t="s">
        <v>16</v>
      </c>
      <c r="C41" s="3" t="s">
        <v>15</v>
      </c>
      <c r="D41" s="3" t="s">
        <v>17</v>
      </c>
      <c r="E41" s="3" t="s">
        <v>89</v>
      </c>
      <c r="F41" s="3" t="s">
        <v>89</v>
      </c>
      <c r="G41" s="3" t="s">
        <v>90</v>
      </c>
      <c r="H41" s="3" t="s">
        <v>90</v>
      </c>
      <c r="I41" s="3" t="s">
        <v>90</v>
      </c>
      <c r="J41" s="3" t="s">
        <v>90</v>
      </c>
      <c r="K41" s="3" t="s">
        <v>90</v>
      </c>
      <c r="L41" s="3" t="s">
        <v>90</v>
      </c>
      <c r="M41" s="3" t="s">
        <v>90</v>
      </c>
      <c r="N41" s="3" t="s">
        <v>90</v>
      </c>
      <c r="O41" s="3" t="s">
        <v>90</v>
      </c>
      <c r="P41" s="3" t="s">
        <v>90</v>
      </c>
    </row>
    <row r="42" ht="12.75" customHeight="1">
      <c r="A42" s="2" t="s">
        <v>226</v>
      </c>
      <c r="B42" s="3" t="s">
        <v>90</v>
      </c>
      <c r="C42" s="3" t="s">
        <v>16</v>
      </c>
      <c r="D42" s="3" t="s">
        <v>15</v>
      </c>
      <c r="E42" s="3" t="s">
        <v>17</v>
      </c>
      <c r="F42" s="3" t="s">
        <v>90</v>
      </c>
      <c r="G42" s="3" t="s">
        <v>90</v>
      </c>
      <c r="H42" s="3" t="s">
        <v>90</v>
      </c>
      <c r="I42" s="3" t="s">
        <v>90</v>
      </c>
      <c r="J42" s="3" t="s">
        <v>90</v>
      </c>
      <c r="K42" s="3" t="s">
        <v>90</v>
      </c>
      <c r="L42" s="3" t="s">
        <v>90</v>
      </c>
      <c r="M42" s="3" t="s">
        <v>90</v>
      </c>
      <c r="N42" s="3" t="s">
        <v>90</v>
      </c>
      <c r="O42" s="3" t="s">
        <v>90</v>
      </c>
      <c r="P42" s="3" t="s">
        <v>90</v>
      </c>
    </row>
    <row r="43" ht="12.75" customHeight="1">
      <c r="A43" s="2" t="s">
        <v>227</v>
      </c>
      <c r="B43" s="3" t="s">
        <v>15</v>
      </c>
      <c r="C43" s="3" t="s">
        <v>89</v>
      </c>
      <c r="D43" s="3" t="s">
        <v>16</v>
      </c>
      <c r="E43" s="3" t="s">
        <v>89</v>
      </c>
      <c r="F43" s="3" t="s">
        <v>17</v>
      </c>
      <c r="G43" s="3" t="s">
        <v>90</v>
      </c>
      <c r="H43" s="3" t="s">
        <v>90</v>
      </c>
      <c r="I43" s="3" t="s">
        <v>90</v>
      </c>
      <c r="J43" s="3" t="s">
        <v>90</v>
      </c>
      <c r="K43" s="3" t="s">
        <v>90</v>
      </c>
      <c r="L43" s="3" t="s">
        <v>90</v>
      </c>
      <c r="M43" s="3" t="s">
        <v>90</v>
      </c>
      <c r="N43" s="3" t="s">
        <v>90</v>
      </c>
      <c r="O43" s="3" t="s">
        <v>90</v>
      </c>
      <c r="P43" s="3" t="s">
        <v>90</v>
      </c>
    </row>
    <row r="44" ht="12.75" customHeight="1">
      <c r="A44" s="2" t="s">
        <v>228</v>
      </c>
      <c r="B44" s="3" t="s">
        <v>90</v>
      </c>
      <c r="C44" s="3" t="s">
        <v>90</v>
      </c>
      <c r="D44" s="3" t="s">
        <v>90</v>
      </c>
      <c r="E44" s="3" t="s">
        <v>90</v>
      </c>
      <c r="F44" s="3" t="s">
        <v>90</v>
      </c>
      <c r="G44" s="3" t="s">
        <v>90</v>
      </c>
      <c r="H44" s="3" t="s">
        <v>16</v>
      </c>
      <c r="I44" s="3" t="s">
        <v>15</v>
      </c>
      <c r="J44" s="3" t="s">
        <v>17</v>
      </c>
      <c r="K44" s="3" t="s">
        <v>90</v>
      </c>
      <c r="L44" s="3" t="s">
        <v>90</v>
      </c>
      <c r="M44" s="3" t="s">
        <v>90</v>
      </c>
      <c r="N44" s="3" t="s">
        <v>90</v>
      </c>
      <c r="O44" s="3" t="s">
        <v>90</v>
      </c>
      <c r="P44" s="3" t="s">
        <v>90</v>
      </c>
    </row>
    <row r="45" ht="12.75" customHeight="1">
      <c r="A45" s="2" t="s">
        <v>229</v>
      </c>
      <c r="B45" s="3" t="s">
        <v>90</v>
      </c>
      <c r="C45" s="3" t="s">
        <v>90</v>
      </c>
      <c r="D45" s="3" t="s">
        <v>90</v>
      </c>
      <c r="E45" s="3" t="s">
        <v>90</v>
      </c>
      <c r="F45" s="3" t="s">
        <v>90</v>
      </c>
      <c r="G45" s="3" t="s">
        <v>90</v>
      </c>
      <c r="H45" s="3" t="s">
        <v>16</v>
      </c>
      <c r="I45" s="3" t="s">
        <v>15</v>
      </c>
      <c r="J45" s="3" t="s">
        <v>17</v>
      </c>
      <c r="K45" s="3" t="s">
        <v>90</v>
      </c>
      <c r="L45" s="3" t="s">
        <v>90</v>
      </c>
      <c r="M45" s="3" t="s">
        <v>90</v>
      </c>
      <c r="N45" s="3" t="s">
        <v>90</v>
      </c>
      <c r="O45" s="3" t="s">
        <v>90</v>
      </c>
      <c r="P45" s="3" t="s">
        <v>90</v>
      </c>
    </row>
    <row r="46" ht="12.75" customHeight="1">
      <c r="A46" s="2" t="s">
        <v>230</v>
      </c>
      <c r="B46" s="3" t="s">
        <v>90</v>
      </c>
      <c r="C46" s="3" t="s">
        <v>90</v>
      </c>
      <c r="D46" s="3" t="s">
        <v>90</v>
      </c>
      <c r="E46" s="3" t="s">
        <v>90</v>
      </c>
      <c r="F46" s="3" t="s">
        <v>16</v>
      </c>
      <c r="G46" s="3" t="s">
        <v>90</v>
      </c>
      <c r="H46" s="3" t="s">
        <v>90</v>
      </c>
      <c r="I46" s="3" t="s">
        <v>90</v>
      </c>
      <c r="J46" s="3" t="s">
        <v>90</v>
      </c>
      <c r="K46" s="3" t="s">
        <v>90</v>
      </c>
      <c r="L46" s="3" t="s">
        <v>90</v>
      </c>
      <c r="M46" s="3" t="s">
        <v>90</v>
      </c>
      <c r="N46" s="3" t="s">
        <v>90</v>
      </c>
      <c r="O46" s="3" t="s">
        <v>90</v>
      </c>
      <c r="P46" s="3" t="s">
        <v>90</v>
      </c>
    </row>
    <row r="47" ht="12.75" customHeight="1">
      <c r="A47" s="2" t="s">
        <v>231</v>
      </c>
      <c r="B47" s="3" t="s">
        <v>90</v>
      </c>
      <c r="C47" s="3" t="s">
        <v>15</v>
      </c>
      <c r="D47" s="3" t="s">
        <v>16</v>
      </c>
      <c r="E47" s="3" t="s">
        <v>16</v>
      </c>
      <c r="F47" s="3" t="s">
        <v>15</v>
      </c>
      <c r="G47" s="3" t="s">
        <v>90</v>
      </c>
      <c r="H47" s="3" t="s">
        <v>90</v>
      </c>
      <c r="I47" s="3" t="s">
        <v>90</v>
      </c>
      <c r="J47" s="3" t="s">
        <v>90</v>
      </c>
      <c r="K47" s="3" t="s">
        <v>90</v>
      </c>
      <c r="L47" s="3" t="s">
        <v>90</v>
      </c>
      <c r="M47" s="3" t="s">
        <v>90</v>
      </c>
      <c r="N47" s="3" t="s">
        <v>90</v>
      </c>
      <c r="O47" s="3" t="s">
        <v>90</v>
      </c>
      <c r="P47" s="3" t="s">
        <v>90</v>
      </c>
    </row>
    <row r="48" ht="12.75" customHeight="1">
      <c r="A48" s="2" t="s">
        <v>232</v>
      </c>
      <c r="B48" s="3" t="s">
        <v>16</v>
      </c>
      <c r="C48" s="3" t="s">
        <v>15</v>
      </c>
      <c r="D48" s="3" t="s">
        <v>17</v>
      </c>
      <c r="E48" s="3" t="s">
        <v>15</v>
      </c>
      <c r="F48" s="3" t="s">
        <v>17</v>
      </c>
      <c r="G48" s="3" t="s">
        <v>90</v>
      </c>
      <c r="H48" s="3" t="s">
        <v>90</v>
      </c>
      <c r="I48" s="3" t="s">
        <v>90</v>
      </c>
      <c r="J48" s="3" t="s">
        <v>16</v>
      </c>
      <c r="K48" s="3" t="s">
        <v>90</v>
      </c>
      <c r="L48" s="3" t="s">
        <v>90</v>
      </c>
      <c r="M48" s="3" t="s">
        <v>90</v>
      </c>
      <c r="N48" s="3" t="s">
        <v>90</v>
      </c>
      <c r="O48" s="3" t="s">
        <v>90</v>
      </c>
      <c r="P48" s="3" t="s">
        <v>90</v>
      </c>
    </row>
    <row r="49" ht="12.75" customHeight="1">
      <c r="A49" s="2" t="s">
        <v>196</v>
      </c>
      <c r="B49" s="3" t="s">
        <v>90</v>
      </c>
      <c r="C49" s="3" t="s">
        <v>17</v>
      </c>
      <c r="D49" s="3" t="s">
        <v>17</v>
      </c>
      <c r="E49" s="3" t="s">
        <v>16</v>
      </c>
      <c r="F49" s="3" t="s">
        <v>15</v>
      </c>
      <c r="G49" s="3" t="s">
        <v>90</v>
      </c>
      <c r="H49" s="3" t="s">
        <v>90</v>
      </c>
      <c r="I49" s="3" t="s">
        <v>90</v>
      </c>
      <c r="J49" s="3" t="s">
        <v>90</v>
      </c>
      <c r="K49" s="3" t="s">
        <v>90</v>
      </c>
      <c r="L49" s="3" t="s">
        <v>90</v>
      </c>
      <c r="M49" s="3" t="s">
        <v>90</v>
      </c>
      <c r="N49" s="3" t="s">
        <v>90</v>
      </c>
      <c r="O49" s="3" t="s">
        <v>90</v>
      </c>
      <c r="P49" s="3" t="s">
        <v>90</v>
      </c>
    </row>
    <row r="50" ht="12.75" customHeight="1">
      <c r="A50" s="2" t="s">
        <v>233</v>
      </c>
      <c r="B50" s="3" t="s">
        <v>90</v>
      </c>
      <c r="C50" s="3" t="s">
        <v>90</v>
      </c>
      <c r="D50" s="3" t="s">
        <v>90</v>
      </c>
      <c r="E50" s="3" t="s">
        <v>90</v>
      </c>
      <c r="F50" s="3" t="s">
        <v>90</v>
      </c>
      <c r="G50" s="3" t="s">
        <v>90</v>
      </c>
      <c r="H50" s="3" t="s">
        <v>15</v>
      </c>
      <c r="I50" s="3" t="s">
        <v>16</v>
      </c>
      <c r="J50" s="3" t="s">
        <v>17</v>
      </c>
      <c r="K50" s="3" t="s">
        <v>90</v>
      </c>
      <c r="L50" s="3" t="s">
        <v>90</v>
      </c>
      <c r="M50" s="3" t="s">
        <v>90</v>
      </c>
      <c r="N50" s="3" t="s">
        <v>90</v>
      </c>
      <c r="O50" s="3" t="s">
        <v>90</v>
      </c>
      <c r="P50" s="3" t="s">
        <v>90</v>
      </c>
    </row>
    <row r="51" ht="12.75" customHeight="1">
      <c r="A51" s="2" t="s">
        <v>234</v>
      </c>
      <c r="B51" s="3" t="s">
        <v>90</v>
      </c>
      <c r="C51" s="3" t="s">
        <v>15</v>
      </c>
      <c r="D51" s="3" t="s">
        <v>90</v>
      </c>
      <c r="E51" s="3" t="s">
        <v>16</v>
      </c>
      <c r="F51" s="3" t="s">
        <v>17</v>
      </c>
      <c r="G51" s="3" t="s">
        <v>90</v>
      </c>
      <c r="H51" s="3" t="s">
        <v>90</v>
      </c>
      <c r="I51" s="3" t="s">
        <v>90</v>
      </c>
      <c r="J51" s="3" t="s">
        <v>90</v>
      </c>
      <c r="K51" s="3" t="s">
        <v>90</v>
      </c>
      <c r="L51" s="3" t="s">
        <v>90</v>
      </c>
      <c r="M51" s="3" t="s">
        <v>90</v>
      </c>
      <c r="N51" s="3" t="s">
        <v>90</v>
      </c>
      <c r="O51" s="3" t="s">
        <v>90</v>
      </c>
      <c r="P51" s="3" t="s">
        <v>90</v>
      </c>
    </row>
    <row r="52" ht="12.75" customHeight="1">
      <c r="A52" s="2" t="s">
        <v>235</v>
      </c>
      <c r="B52" s="3" t="s">
        <v>90</v>
      </c>
      <c r="C52" s="3" t="s">
        <v>16</v>
      </c>
      <c r="D52" s="3" t="s">
        <v>90</v>
      </c>
      <c r="E52" s="3" t="s">
        <v>15</v>
      </c>
      <c r="F52" s="3" t="s">
        <v>17</v>
      </c>
      <c r="G52" s="3" t="s">
        <v>90</v>
      </c>
      <c r="H52" s="3" t="s">
        <v>90</v>
      </c>
      <c r="I52" s="3" t="s">
        <v>90</v>
      </c>
      <c r="J52" s="3" t="s">
        <v>90</v>
      </c>
      <c r="K52" s="3" t="s">
        <v>90</v>
      </c>
      <c r="L52" s="3" t="s">
        <v>90</v>
      </c>
      <c r="M52" s="3" t="s">
        <v>90</v>
      </c>
      <c r="N52" s="3" t="s">
        <v>90</v>
      </c>
      <c r="O52" s="3" t="s">
        <v>90</v>
      </c>
      <c r="P52" s="3" t="s">
        <v>90</v>
      </c>
    </row>
    <row r="53" ht="12.75" customHeight="1">
      <c r="A53" s="2" t="s">
        <v>236</v>
      </c>
      <c r="B53" s="3" t="s">
        <v>90</v>
      </c>
      <c r="C53" s="3" t="s">
        <v>15</v>
      </c>
      <c r="D53" s="3" t="s">
        <v>90</v>
      </c>
      <c r="E53" s="3" t="s">
        <v>17</v>
      </c>
      <c r="F53" s="3" t="s">
        <v>16</v>
      </c>
      <c r="G53" s="3" t="s">
        <v>90</v>
      </c>
      <c r="H53" s="3" t="s">
        <v>90</v>
      </c>
      <c r="I53" s="3" t="s">
        <v>90</v>
      </c>
      <c r="J53" s="3" t="s">
        <v>90</v>
      </c>
      <c r="K53" s="3" t="s">
        <v>90</v>
      </c>
      <c r="L53" s="3" t="s">
        <v>90</v>
      </c>
      <c r="M53" s="3" t="s">
        <v>90</v>
      </c>
      <c r="N53" s="3" t="s">
        <v>90</v>
      </c>
      <c r="O53" s="3" t="s">
        <v>90</v>
      </c>
      <c r="P53" s="3" t="s">
        <v>90</v>
      </c>
    </row>
    <row r="54" ht="12.75" customHeight="1">
      <c r="A54" s="2" t="s">
        <v>237</v>
      </c>
      <c r="B54" s="3" t="s">
        <v>90</v>
      </c>
      <c r="C54" s="3" t="s">
        <v>17</v>
      </c>
      <c r="D54" s="3" t="s">
        <v>15</v>
      </c>
      <c r="E54" s="3" t="s">
        <v>16</v>
      </c>
      <c r="F54" s="3" t="s">
        <v>17</v>
      </c>
      <c r="G54" s="3" t="s">
        <v>90</v>
      </c>
      <c r="H54" s="3" t="s">
        <v>90</v>
      </c>
      <c r="I54" s="3" t="s">
        <v>90</v>
      </c>
      <c r="J54" s="3" t="s">
        <v>90</v>
      </c>
      <c r="K54" s="3" t="s">
        <v>90</v>
      </c>
      <c r="L54" s="3" t="s">
        <v>90</v>
      </c>
      <c r="M54" s="3" t="s">
        <v>90</v>
      </c>
      <c r="N54" s="3" t="s">
        <v>90</v>
      </c>
      <c r="O54" s="3" t="s">
        <v>90</v>
      </c>
      <c r="P54" s="3" t="s">
        <v>90</v>
      </c>
    </row>
    <row r="55" ht="12.75" customHeight="1">
      <c r="A55" s="2" t="s">
        <v>238</v>
      </c>
      <c r="B55" s="3" t="s">
        <v>90</v>
      </c>
      <c r="C55" s="3" t="s">
        <v>15</v>
      </c>
      <c r="D55" s="3" t="s">
        <v>89</v>
      </c>
      <c r="E55" s="3" t="s">
        <v>17</v>
      </c>
      <c r="F55" s="3" t="s">
        <v>16</v>
      </c>
      <c r="G55" s="3" t="s">
        <v>90</v>
      </c>
      <c r="H55" s="3" t="s">
        <v>90</v>
      </c>
      <c r="I55" s="3" t="s">
        <v>90</v>
      </c>
      <c r="J55" s="3" t="s">
        <v>90</v>
      </c>
      <c r="K55" s="3" t="s">
        <v>90</v>
      </c>
      <c r="L55" s="3" t="s">
        <v>90</v>
      </c>
      <c r="M55" s="3" t="s">
        <v>90</v>
      </c>
      <c r="N55" s="3" t="s">
        <v>90</v>
      </c>
      <c r="O55" s="3" t="s">
        <v>90</v>
      </c>
      <c r="P55" s="3" t="s">
        <v>90</v>
      </c>
    </row>
    <row r="56" ht="12.75" customHeight="1">
      <c r="A56" s="2" t="s">
        <v>239</v>
      </c>
      <c r="B56" s="3" t="s">
        <v>90</v>
      </c>
      <c r="C56" s="3" t="s">
        <v>15</v>
      </c>
      <c r="D56" s="3" t="s">
        <v>90</v>
      </c>
      <c r="E56" s="3" t="s">
        <v>16</v>
      </c>
      <c r="F56" s="3" t="s">
        <v>16</v>
      </c>
      <c r="G56" s="3" t="s">
        <v>90</v>
      </c>
      <c r="H56" s="3" t="s">
        <v>15</v>
      </c>
      <c r="I56" s="3" t="s">
        <v>15</v>
      </c>
      <c r="J56" s="3" t="s">
        <v>15</v>
      </c>
      <c r="K56" s="3" t="s">
        <v>90</v>
      </c>
      <c r="L56" s="3" t="s">
        <v>90</v>
      </c>
      <c r="M56" s="3" t="s">
        <v>90</v>
      </c>
      <c r="N56" s="3" t="s">
        <v>90</v>
      </c>
      <c r="O56" s="3" t="s">
        <v>90</v>
      </c>
      <c r="P56" s="3" t="s">
        <v>90</v>
      </c>
    </row>
    <row r="57" ht="12.75" customHeight="1">
      <c r="A57" s="2" t="s">
        <v>19</v>
      </c>
      <c r="B57" s="3" t="s">
        <v>15</v>
      </c>
      <c r="C57" s="3" t="s">
        <v>89</v>
      </c>
      <c r="D57" s="3" t="s">
        <v>90</v>
      </c>
      <c r="E57" s="3" t="s">
        <v>17</v>
      </c>
      <c r="F57" s="3" t="s">
        <v>89</v>
      </c>
      <c r="G57" s="3" t="s">
        <v>16</v>
      </c>
      <c r="H57" s="3" t="s">
        <v>90</v>
      </c>
      <c r="I57" s="3" t="s">
        <v>90</v>
      </c>
      <c r="J57" s="3" t="s">
        <v>90</v>
      </c>
      <c r="K57" s="3" t="s">
        <v>90</v>
      </c>
      <c r="L57" s="3" t="s">
        <v>90</v>
      </c>
      <c r="M57" s="3" t="s">
        <v>90</v>
      </c>
      <c r="N57" s="3" t="s">
        <v>90</v>
      </c>
      <c r="O57" s="3" t="s">
        <v>90</v>
      </c>
      <c r="P57" s="3" t="s">
        <v>90</v>
      </c>
    </row>
    <row r="58" ht="12.75" customHeight="1">
      <c r="A58" s="2" t="s">
        <v>240</v>
      </c>
      <c r="B58" s="3" t="s">
        <v>90</v>
      </c>
      <c r="C58" s="3" t="s">
        <v>90</v>
      </c>
      <c r="D58" s="3" t="s">
        <v>90</v>
      </c>
      <c r="E58" s="3" t="s">
        <v>90</v>
      </c>
      <c r="F58" s="3" t="s">
        <v>90</v>
      </c>
      <c r="G58" s="3" t="s">
        <v>90</v>
      </c>
      <c r="H58" s="3" t="s">
        <v>15</v>
      </c>
      <c r="I58" s="3" t="s">
        <v>16</v>
      </c>
      <c r="J58" s="3" t="s">
        <v>90</v>
      </c>
      <c r="K58" s="3" t="s">
        <v>90</v>
      </c>
      <c r="L58" s="3" t="s">
        <v>90</v>
      </c>
      <c r="M58" s="3" t="s">
        <v>90</v>
      </c>
      <c r="N58" s="3" t="s">
        <v>90</v>
      </c>
      <c r="O58" s="3" t="s">
        <v>90</v>
      </c>
      <c r="P58" s="3" t="s">
        <v>90</v>
      </c>
    </row>
    <row r="59" ht="12.75" customHeight="1">
      <c r="A59" s="2" t="s">
        <v>241</v>
      </c>
      <c r="B59" s="3" t="s">
        <v>16</v>
      </c>
      <c r="C59" s="3" t="s">
        <v>17</v>
      </c>
      <c r="D59" s="3" t="s">
        <v>90</v>
      </c>
      <c r="E59" s="3" t="s">
        <v>15</v>
      </c>
      <c r="F59" s="3" t="s">
        <v>89</v>
      </c>
      <c r="G59" s="3" t="s">
        <v>90</v>
      </c>
      <c r="H59" s="3" t="s">
        <v>90</v>
      </c>
      <c r="I59" s="3" t="s">
        <v>90</v>
      </c>
      <c r="J59" s="3" t="s">
        <v>90</v>
      </c>
      <c r="K59" s="3" t="s">
        <v>90</v>
      </c>
      <c r="L59" s="3" t="s">
        <v>90</v>
      </c>
      <c r="M59" s="3" t="s">
        <v>90</v>
      </c>
      <c r="N59" s="3" t="s">
        <v>90</v>
      </c>
      <c r="O59" s="3" t="s">
        <v>90</v>
      </c>
      <c r="P59" s="3" t="s">
        <v>90</v>
      </c>
    </row>
    <row r="60" ht="12.75" customHeight="1">
      <c r="A60" s="2" t="s">
        <v>242</v>
      </c>
      <c r="B60" s="3" t="s">
        <v>90</v>
      </c>
      <c r="C60" s="3" t="s">
        <v>90</v>
      </c>
      <c r="D60" s="3" t="s">
        <v>90</v>
      </c>
      <c r="E60" s="3" t="s">
        <v>90</v>
      </c>
      <c r="F60" s="3" t="s">
        <v>90</v>
      </c>
      <c r="G60" s="3" t="s">
        <v>90</v>
      </c>
      <c r="H60" s="3" t="s">
        <v>15</v>
      </c>
      <c r="I60" s="3" t="s">
        <v>16</v>
      </c>
      <c r="J60" s="3" t="s">
        <v>17</v>
      </c>
      <c r="K60" s="3" t="s">
        <v>90</v>
      </c>
      <c r="L60" s="3" t="s">
        <v>90</v>
      </c>
      <c r="M60" s="3" t="s">
        <v>90</v>
      </c>
      <c r="N60" s="3" t="s">
        <v>90</v>
      </c>
      <c r="O60" s="3" t="s">
        <v>90</v>
      </c>
      <c r="P60" s="3" t="s">
        <v>90</v>
      </c>
    </row>
    <row r="61" ht="12.75" customHeight="1">
      <c r="A61" s="2" t="s">
        <v>243</v>
      </c>
      <c r="B61" s="3" t="s">
        <v>90</v>
      </c>
      <c r="C61" s="3" t="s">
        <v>90</v>
      </c>
      <c r="D61" s="3" t="s">
        <v>90</v>
      </c>
      <c r="E61" s="3" t="s">
        <v>90</v>
      </c>
      <c r="F61" s="3" t="s">
        <v>90</v>
      </c>
      <c r="G61" s="3" t="s">
        <v>90</v>
      </c>
      <c r="H61" s="3" t="s">
        <v>17</v>
      </c>
      <c r="I61" s="3" t="s">
        <v>16</v>
      </c>
      <c r="J61" s="3" t="s">
        <v>15</v>
      </c>
      <c r="K61" s="3" t="s">
        <v>90</v>
      </c>
      <c r="L61" s="3" t="s">
        <v>90</v>
      </c>
      <c r="M61" s="3" t="s">
        <v>90</v>
      </c>
      <c r="N61" s="3" t="s">
        <v>90</v>
      </c>
      <c r="O61" s="3" t="s">
        <v>90</v>
      </c>
      <c r="P61" s="3" t="s">
        <v>90</v>
      </c>
    </row>
    <row r="62" ht="12.75" customHeight="1">
      <c r="A62" s="2" t="s">
        <v>40</v>
      </c>
      <c r="B62" s="3" t="s">
        <v>15</v>
      </c>
      <c r="C62" s="3" t="s">
        <v>16</v>
      </c>
      <c r="D62" s="3" t="s">
        <v>90</v>
      </c>
      <c r="E62" s="3" t="s">
        <v>89</v>
      </c>
      <c r="F62" s="3" t="s">
        <v>16</v>
      </c>
      <c r="G62" s="3" t="s">
        <v>17</v>
      </c>
      <c r="H62" s="3" t="s">
        <v>17</v>
      </c>
      <c r="I62" s="3" t="s">
        <v>15</v>
      </c>
      <c r="J62" s="3" t="s">
        <v>89</v>
      </c>
      <c r="K62" s="3" t="s">
        <v>90</v>
      </c>
      <c r="L62" s="3" t="s">
        <v>90</v>
      </c>
      <c r="M62" s="3" t="s">
        <v>90</v>
      </c>
      <c r="N62" s="3" t="s">
        <v>90</v>
      </c>
      <c r="O62" s="3" t="s">
        <v>90</v>
      </c>
      <c r="P62" s="3" t="s">
        <v>90</v>
      </c>
    </row>
    <row r="63" ht="12.75" customHeight="1">
      <c r="A63" s="2" t="s">
        <v>244</v>
      </c>
      <c r="B63" s="3" t="s">
        <v>16</v>
      </c>
      <c r="C63" s="3" t="s">
        <v>17</v>
      </c>
      <c r="D63" s="3" t="s">
        <v>89</v>
      </c>
      <c r="E63" s="3" t="s">
        <v>15</v>
      </c>
      <c r="F63" s="3" t="s">
        <v>89</v>
      </c>
      <c r="G63" s="3" t="s">
        <v>89</v>
      </c>
      <c r="H63" s="3" t="s">
        <v>90</v>
      </c>
      <c r="I63" s="3" t="s">
        <v>90</v>
      </c>
      <c r="J63" s="3" t="s">
        <v>90</v>
      </c>
      <c r="K63" s="3" t="s">
        <v>90</v>
      </c>
      <c r="L63" s="3" t="s">
        <v>90</v>
      </c>
      <c r="M63" s="3" t="s">
        <v>90</v>
      </c>
      <c r="N63" s="3" t="s">
        <v>90</v>
      </c>
      <c r="O63" s="3" t="s">
        <v>90</v>
      </c>
      <c r="P63" s="3" t="s">
        <v>90</v>
      </c>
    </row>
    <row r="64" ht="12.75" customHeight="1">
      <c r="A64" s="2" t="s">
        <v>245</v>
      </c>
      <c r="B64" s="3" t="s">
        <v>90</v>
      </c>
      <c r="C64" s="3" t="s">
        <v>90</v>
      </c>
      <c r="D64" s="3" t="s">
        <v>90</v>
      </c>
      <c r="E64" s="3" t="s">
        <v>90</v>
      </c>
      <c r="F64" s="3" t="s">
        <v>90</v>
      </c>
      <c r="G64" s="3" t="s">
        <v>90</v>
      </c>
      <c r="H64" s="3" t="s">
        <v>17</v>
      </c>
      <c r="I64" s="3" t="s">
        <v>15</v>
      </c>
      <c r="J64" s="3" t="s">
        <v>16</v>
      </c>
      <c r="K64" s="3" t="s">
        <v>90</v>
      </c>
      <c r="L64" s="3" t="s">
        <v>90</v>
      </c>
      <c r="M64" s="3" t="s">
        <v>90</v>
      </c>
      <c r="N64" s="3" t="s">
        <v>90</v>
      </c>
      <c r="O64" s="3" t="s">
        <v>90</v>
      </c>
      <c r="P64" s="3" t="s">
        <v>90</v>
      </c>
    </row>
    <row r="65" ht="12.75" customHeight="1">
      <c r="A65" s="2" t="s">
        <v>246</v>
      </c>
      <c r="B65" s="3" t="s">
        <v>89</v>
      </c>
      <c r="C65" s="3" t="s">
        <v>89</v>
      </c>
      <c r="D65" s="3" t="s">
        <v>15</v>
      </c>
      <c r="E65" s="3" t="s">
        <v>89</v>
      </c>
      <c r="F65" s="3" t="s">
        <v>17</v>
      </c>
      <c r="G65" s="3" t="s">
        <v>16</v>
      </c>
      <c r="H65" s="3" t="s">
        <v>90</v>
      </c>
      <c r="I65" s="3" t="s">
        <v>90</v>
      </c>
      <c r="J65" s="3" t="s">
        <v>90</v>
      </c>
      <c r="K65" s="3" t="s">
        <v>90</v>
      </c>
      <c r="L65" s="3" t="s">
        <v>90</v>
      </c>
      <c r="M65" s="3" t="s">
        <v>90</v>
      </c>
      <c r="N65" s="3" t="s">
        <v>90</v>
      </c>
      <c r="O65" s="3" t="s">
        <v>90</v>
      </c>
      <c r="P65" s="3" t="s">
        <v>90</v>
      </c>
    </row>
    <row r="66" ht="12.75" customHeight="1">
      <c r="A66" s="2" t="s">
        <v>29</v>
      </c>
      <c r="B66" s="3" t="s">
        <v>16</v>
      </c>
      <c r="C66" s="3" t="s">
        <v>16</v>
      </c>
      <c r="D66" s="3" t="s">
        <v>90</v>
      </c>
      <c r="E66" s="3" t="s">
        <v>89</v>
      </c>
      <c r="F66" s="3" t="s">
        <v>89</v>
      </c>
      <c r="G66" s="3" t="s">
        <v>16</v>
      </c>
      <c r="H66" s="3" t="s">
        <v>90</v>
      </c>
      <c r="I66" s="3" t="s">
        <v>90</v>
      </c>
      <c r="J66" s="3" t="s">
        <v>90</v>
      </c>
      <c r="K66" s="3" t="s">
        <v>89</v>
      </c>
      <c r="L66" s="3" t="s">
        <v>90</v>
      </c>
      <c r="M66" s="3" t="s">
        <v>90</v>
      </c>
      <c r="N66" s="3" t="s">
        <v>90</v>
      </c>
      <c r="O66" s="3" t="s">
        <v>90</v>
      </c>
      <c r="P66" s="3" t="s">
        <v>90</v>
      </c>
    </row>
    <row r="67" ht="12.75" customHeight="1">
      <c r="A67" s="2" t="s">
        <v>247</v>
      </c>
      <c r="B67" s="3" t="s">
        <v>15</v>
      </c>
      <c r="C67" s="3" t="s">
        <v>17</v>
      </c>
      <c r="D67" s="3" t="s">
        <v>16</v>
      </c>
      <c r="E67" s="3" t="s">
        <v>15</v>
      </c>
      <c r="F67" s="3" t="s">
        <v>89</v>
      </c>
      <c r="G67" s="3" t="s">
        <v>15</v>
      </c>
      <c r="H67" s="3" t="s">
        <v>17</v>
      </c>
      <c r="I67" s="3" t="s">
        <v>89</v>
      </c>
      <c r="J67" s="3" t="s">
        <v>89</v>
      </c>
      <c r="K67" s="3" t="s">
        <v>89</v>
      </c>
      <c r="L67" s="3" t="s">
        <v>90</v>
      </c>
      <c r="M67" s="3" t="s">
        <v>90</v>
      </c>
      <c r="N67" s="3" t="s">
        <v>89</v>
      </c>
      <c r="O67" s="3" t="s">
        <v>89</v>
      </c>
      <c r="P67" s="3" t="s">
        <v>90</v>
      </c>
    </row>
    <row r="68" ht="12.75" customHeight="1">
      <c r="A68" s="2" t="s">
        <v>91</v>
      </c>
      <c r="B68" s="3" t="s">
        <v>89</v>
      </c>
      <c r="C68" s="3" t="s">
        <v>89</v>
      </c>
      <c r="D68" s="3" t="s">
        <v>89</v>
      </c>
      <c r="E68" s="3" t="s">
        <v>89</v>
      </c>
      <c r="F68" s="3" t="s">
        <v>16</v>
      </c>
      <c r="G68" s="3" t="s">
        <v>17</v>
      </c>
      <c r="H68" s="3" t="s">
        <v>90</v>
      </c>
      <c r="I68" s="3" t="s">
        <v>90</v>
      </c>
      <c r="J68" s="3" t="s">
        <v>90</v>
      </c>
      <c r="K68" s="3" t="s">
        <v>15</v>
      </c>
      <c r="L68" s="3" t="s">
        <v>90</v>
      </c>
      <c r="M68" s="3" t="s">
        <v>90</v>
      </c>
      <c r="N68" s="3" t="s">
        <v>90</v>
      </c>
      <c r="O68" s="3" t="s">
        <v>90</v>
      </c>
      <c r="P68" s="3" t="s">
        <v>90</v>
      </c>
    </row>
    <row r="69" ht="12.75" customHeight="1">
      <c r="A69" s="2" t="s">
        <v>29</v>
      </c>
      <c r="B69" s="3" t="s">
        <v>90</v>
      </c>
      <c r="C69" s="3" t="s">
        <v>16</v>
      </c>
      <c r="D69" s="3" t="s">
        <v>90</v>
      </c>
      <c r="E69" s="3" t="s">
        <v>89</v>
      </c>
      <c r="F69" s="3" t="s">
        <v>89</v>
      </c>
      <c r="G69" s="3" t="s">
        <v>90</v>
      </c>
      <c r="H69" s="3" t="s">
        <v>90</v>
      </c>
      <c r="I69" s="3" t="s">
        <v>90</v>
      </c>
      <c r="J69" s="3" t="s">
        <v>90</v>
      </c>
      <c r="K69" s="3" t="s">
        <v>16</v>
      </c>
      <c r="L69" s="3" t="s">
        <v>90</v>
      </c>
      <c r="M69" s="3" t="s">
        <v>90</v>
      </c>
      <c r="N69" s="3" t="s">
        <v>90</v>
      </c>
      <c r="O69" s="3" t="s">
        <v>90</v>
      </c>
      <c r="P69" s="3" t="s">
        <v>90</v>
      </c>
    </row>
    <row r="70" ht="12.75" customHeight="1">
      <c r="A70" s="2" t="s">
        <v>29</v>
      </c>
      <c r="B70" s="3" t="s">
        <v>90</v>
      </c>
      <c r="C70" s="3" t="s">
        <v>89</v>
      </c>
      <c r="D70" s="3" t="s">
        <v>90</v>
      </c>
      <c r="E70" s="3" t="s">
        <v>89</v>
      </c>
      <c r="F70" s="3" t="s">
        <v>16</v>
      </c>
      <c r="G70" s="3" t="s">
        <v>90</v>
      </c>
      <c r="H70" s="3" t="s">
        <v>90</v>
      </c>
      <c r="I70" s="3" t="s">
        <v>90</v>
      </c>
      <c r="J70" s="3" t="s">
        <v>90</v>
      </c>
      <c r="K70" s="3" t="s">
        <v>16</v>
      </c>
      <c r="L70" s="3" t="s">
        <v>90</v>
      </c>
      <c r="M70" s="3" t="s">
        <v>90</v>
      </c>
      <c r="N70" s="3" t="s">
        <v>90</v>
      </c>
      <c r="O70" s="3" t="s">
        <v>90</v>
      </c>
      <c r="P70" s="3" t="s">
        <v>90</v>
      </c>
    </row>
    <row r="71" ht="12.75" customHeight="1">
      <c r="A71" s="2" t="s">
        <v>18</v>
      </c>
      <c r="B71" s="3" t="s">
        <v>16</v>
      </c>
      <c r="C71" s="3" t="s">
        <v>16</v>
      </c>
      <c r="D71" s="3" t="s">
        <v>90</v>
      </c>
      <c r="E71" s="3" t="s">
        <v>89</v>
      </c>
      <c r="F71" s="3" t="s">
        <v>89</v>
      </c>
      <c r="G71" s="3" t="s">
        <v>90</v>
      </c>
      <c r="H71" s="3" t="s">
        <v>90</v>
      </c>
      <c r="I71" s="3" t="s">
        <v>90</v>
      </c>
      <c r="J71" s="3" t="s">
        <v>90</v>
      </c>
      <c r="K71" s="3" t="s">
        <v>89</v>
      </c>
      <c r="L71" s="3" t="s">
        <v>90</v>
      </c>
      <c r="M71" s="3" t="s">
        <v>90</v>
      </c>
      <c r="N71" s="3" t="s">
        <v>90</v>
      </c>
      <c r="O71" s="3" t="s">
        <v>90</v>
      </c>
      <c r="P71" s="3" t="s">
        <v>90</v>
      </c>
    </row>
    <row r="72" ht="12.75" customHeight="1">
      <c r="A72" s="2" t="s">
        <v>248</v>
      </c>
      <c r="B72" s="3" t="s">
        <v>89</v>
      </c>
      <c r="C72" s="3" t="s">
        <v>16</v>
      </c>
      <c r="D72" s="3" t="s">
        <v>89</v>
      </c>
      <c r="E72" s="3" t="s">
        <v>89</v>
      </c>
      <c r="F72" s="3" t="s">
        <v>89</v>
      </c>
      <c r="G72" s="3" t="s">
        <v>90</v>
      </c>
      <c r="H72" s="3" t="s">
        <v>90</v>
      </c>
      <c r="I72" s="3" t="s">
        <v>89</v>
      </c>
      <c r="J72" s="3" t="s">
        <v>90</v>
      </c>
      <c r="K72" s="3" t="s">
        <v>90</v>
      </c>
      <c r="L72" s="3" t="s">
        <v>90</v>
      </c>
      <c r="M72" s="3" t="s">
        <v>90</v>
      </c>
      <c r="N72" s="3" t="s">
        <v>89</v>
      </c>
      <c r="O72" s="3" t="s">
        <v>16</v>
      </c>
      <c r="P72" s="3" t="s">
        <v>90</v>
      </c>
    </row>
    <row r="73" ht="12.75" customHeight="1">
      <c r="A73" s="2" t="s">
        <v>196</v>
      </c>
      <c r="B73" s="3" t="s">
        <v>90</v>
      </c>
      <c r="C73" s="3" t="s">
        <v>15</v>
      </c>
      <c r="D73" s="3" t="s">
        <v>15</v>
      </c>
      <c r="E73" s="3" t="s">
        <v>16</v>
      </c>
      <c r="F73" s="3" t="s">
        <v>15</v>
      </c>
      <c r="G73" s="3" t="s">
        <v>90</v>
      </c>
      <c r="H73" s="3" t="s">
        <v>90</v>
      </c>
      <c r="I73" s="3" t="s">
        <v>90</v>
      </c>
      <c r="J73" s="3" t="s">
        <v>90</v>
      </c>
      <c r="K73" s="3" t="s">
        <v>90</v>
      </c>
      <c r="L73" s="3" t="s">
        <v>90</v>
      </c>
      <c r="M73" s="3" t="s">
        <v>90</v>
      </c>
      <c r="N73" s="3" t="s">
        <v>90</v>
      </c>
      <c r="O73" s="3" t="s">
        <v>90</v>
      </c>
      <c r="P73" s="3" t="s">
        <v>90</v>
      </c>
    </row>
    <row r="74" ht="15.0" customHeight="1">
      <c r="A74" s="2" t="s">
        <v>249</v>
      </c>
      <c r="B74" s="3" t="s">
        <v>90</v>
      </c>
      <c r="C74" s="3" t="s">
        <v>15</v>
      </c>
      <c r="D74" s="3" t="s">
        <v>90</v>
      </c>
      <c r="E74" s="3" t="s">
        <v>17</v>
      </c>
      <c r="F74" s="3" t="s">
        <v>16</v>
      </c>
      <c r="G74" s="3" t="s">
        <v>90</v>
      </c>
      <c r="H74" s="3" t="s">
        <v>90</v>
      </c>
      <c r="I74" s="3" t="s">
        <v>90</v>
      </c>
      <c r="J74" s="3" t="s">
        <v>90</v>
      </c>
      <c r="K74" s="3" t="s">
        <v>90</v>
      </c>
      <c r="L74" s="3" t="s">
        <v>90</v>
      </c>
      <c r="M74" s="3" t="s">
        <v>90</v>
      </c>
      <c r="N74" s="3" t="s">
        <v>90</v>
      </c>
      <c r="O74" s="3" t="s">
        <v>90</v>
      </c>
      <c r="P74" s="3" t="s">
        <v>90</v>
      </c>
    </row>
    <row r="75" ht="14.25" customHeight="1">
      <c r="A75" s="2" t="s">
        <v>250</v>
      </c>
      <c r="B75" s="3" t="s">
        <v>90</v>
      </c>
      <c r="C75" s="3" t="s">
        <v>15</v>
      </c>
      <c r="D75" s="3" t="s">
        <v>90</v>
      </c>
      <c r="E75" s="3" t="s">
        <v>17</v>
      </c>
      <c r="F75" s="3" t="s">
        <v>16</v>
      </c>
      <c r="G75" s="3" t="s">
        <v>90</v>
      </c>
      <c r="H75" s="3" t="s">
        <v>90</v>
      </c>
      <c r="I75" s="3" t="s">
        <v>90</v>
      </c>
      <c r="J75" s="3" t="s">
        <v>90</v>
      </c>
      <c r="K75" s="3" t="s">
        <v>90</v>
      </c>
      <c r="L75" s="3" t="s">
        <v>90</v>
      </c>
      <c r="M75" s="3" t="s">
        <v>90</v>
      </c>
      <c r="N75" s="3" t="s">
        <v>90</v>
      </c>
      <c r="O75" s="3" t="s">
        <v>90</v>
      </c>
      <c r="P75" s="3" t="s">
        <v>90</v>
      </c>
    </row>
    <row r="76" ht="12.75" customHeight="1">
      <c r="A76" s="2" t="s">
        <v>251</v>
      </c>
      <c r="B76" s="3" t="s">
        <v>90</v>
      </c>
      <c r="C76" s="3" t="s">
        <v>15</v>
      </c>
      <c r="D76" s="3" t="s">
        <v>90</v>
      </c>
      <c r="E76" s="3" t="s">
        <v>17</v>
      </c>
      <c r="F76" s="3" t="s">
        <v>16</v>
      </c>
      <c r="G76" s="3" t="s">
        <v>90</v>
      </c>
      <c r="H76" s="3" t="s">
        <v>90</v>
      </c>
      <c r="I76" s="3" t="s">
        <v>90</v>
      </c>
      <c r="J76" s="3" t="s">
        <v>90</v>
      </c>
      <c r="K76" s="3" t="s">
        <v>90</v>
      </c>
      <c r="L76" s="3" t="s">
        <v>90</v>
      </c>
      <c r="M76" s="3" t="s">
        <v>90</v>
      </c>
      <c r="N76" s="3" t="s">
        <v>90</v>
      </c>
      <c r="O76" s="3" t="s">
        <v>90</v>
      </c>
      <c r="P76" s="3" t="s">
        <v>90</v>
      </c>
    </row>
    <row r="77" ht="12.75" customHeight="1">
      <c r="A77" s="2" t="s">
        <v>202</v>
      </c>
      <c r="B77" s="3" t="s">
        <v>16</v>
      </c>
      <c r="C77" s="3" t="s">
        <v>89</v>
      </c>
      <c r="D77" s="3" t="s">
        <v>89</v>
      </c>
      <c r="E77" s="3" t="s">
        <v>16</v>
      </c>
      <c r="F77" s="3" t="s">
        <v>89</v>
      </c>
      <c r="G77" s="3" t="s">
        <v>16</v>
      </c>
      <c r="H77" s="3" t="s">
        <v>90</v>
      </c>
      <c r="I77" s="3" t="s">
        <v>90</v>
      </c>
      <c r="J77" s="3" t="s">
        <v>90</v>
      </c>
      <c r="K77" s="3" t="s">
        <v>89</v>
      </c>
      <c r="L77" s="3" t="s">
        <v>90</v>
      </c>
      <c r="M77" s="3" t="s">
        <v>90</v>
      </c>
      <c r="N77" s="3" t="s">
        <v>16</v>
      </c>
      <c r="O77" s="3" t="s">
        <v>90</v>
      </c>
      <c r="P77" s="3" t="s">
        <v>90</v>
      </c>
    </row>
    <row r="78" ht="12.75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2.75" hidden="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2.75" hidden="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2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2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4.25" hidden="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2.75" customHeight="1">
      <c r="A100" s="2" t="s">
        <v>89</v>
      </c>
      <c r="B100" s="3">
        <f t="array" ref="B100">SUM(IF(B2:B99="v",1))</f>
        <v>6</v>
      </c>
      <c r="C100" s="3">
        <f t="array" ref="C100">SUM(IF(C2:C99="v",1))</f>
        <v>18</v>
      </c>
      <c r="D100" s="3">
        <f t="array" ref="D100">SUM(IF(D2:D99="v",1))</f>
        <v>12</v>
      </c>
      <c r="E100" s="3">
        <f t="array" ref="E100">SUM(IF(E2:E99="v",1))</f>
        <v>22</v>
      </c>
      <c r="F100" s="3">
        <f t="array" ref="F100">SUM(IF(F2:F99="v",1))</f>
        <v>26</v>
      </c>
      <c r="G100" s="3">
        <f t="array" ref="G100">SUM(IF(G2:G99="v",1))</f>
        <v>4</v>
      </c>
      <c r="H100" s="3">
        <f t="array" ref="H100">SUM(IF(H2:H99="v",1))</f>
        <v>3</v>
      </c>
      <c r="I100" s="3">
        <f t="array" ref="I100">SUM(IF(I2:I99="v",1))</f>
        <v>6</v>
      </c>
      <c r="J100" s="3">
        <f t="array" ref="J100">SUM(IF(J2:J99="v",1))</f>
        <v>6</v>
      </c>
      <c r="K100" s="3">
        <f t="array" ref="K100">SUM(IF(K2:K99="v",1))</f>
        <v>4</v>
      </c>
      <c r="L100" s="3">
        <f t="array" ref="L100">SUM(IF(L2:L99="v",1))</f>
        <v>3</v>
      </c>
      <c r="M100" s="3">
        <f t="array" ref="M100">SUM(IF(M2:M99="v",1))</f>
        <v>0</v>
      </c>
      <c r="N100" s="3">
        <f t="array" ref="N100">SUM(IF(N2:N99="v",1))</f>
        <v>2</v>
      </c>
      <c r="O100" s="3">
        <f t="array" ref="O100">SUM(IF(O2:O99="v",1))</f>
        <v>3</v>
      </c>
      <c r="P100" s="3">
        <f t="array" ref="P100">SUM(IF(P2:P99="v",1))</f>
        <v>0</v>
      </c>
    </row>
    <row r="101" ht="13.5" customHeight="1">
      <c r="A101" s="2" t="s">
        <v>90</v>
      </c>
      <c r="B101" s="3">
        <f t="array" ref="B101">SUM(IF(B2:B99="x",1))</f>
        <v>36</v>
      </c>
      <c r="C101" s="3">
        <f t="array" ref="C101">SUM(IF(C2:C99="x",1))</f>
        <v>20</v>
      </c>
      <c r="D101" s="3">
        <f t="array" ref="D101">SUM(IF(D2:D99="x",1))</f>
        <v>41</v>
      </c>
      <c r="E101" s="3">
        <f t="array" ref="E101">SUM(IF(E2:E99="x",1))</f>
        <v>19</v>
      </c>
      <c r="F101" s="3">
        <f t="array" ref="F101">SUM(IF(F2:F99="x",1))</f>
        <v>15</v>
      </c>
      <c r="G101" s="3">
        <f t="array" ref="G101">SUM(IF(G2:G99="x",1))</f>
        <v>56</v>
      </c>
      <c r="H101" s="3">
        <f t="array" ref="H101">SUM(IF(H2:H99="x",1))</f>
        <v>56</v>
      </c>
      <c r="I101" s="3">
        <f t="array" ref="I101">SUM(IF(I2:I99="x",1))</f>
        <v>52</v>
      </c>
      <c r="J101" s="3">
        <f t="array" ref="J101">SUM(IF(J2:J99="x",1))</f>
        <v>54</v>
      </c>
      <c r="K101" s="3">
        <f t="array" ref="K101">SUM(IF(K2:K99="x",1))</f>
        <v>69</v>
      </c>
      <c r="L101" s="3">
        <f t="array" ref="L101">SUM(IF(L2:L99="x",1))</f>
        <v>72</v>
      </c>
      <c r="M101" s="3">
        <f t="array" ref="M101">SUM(IF(M2:M99="x",1))</f>
        <v>76</v>
      </c>
      <c r="N101" s="3">
        <f t="array" ref="N101">SUM(IF(N2:N99="x",1))</f>
        <v>73</v>
      </c>
      <c r="O101" s="3">
        <f t="array" ref="O101">SUM(IF(O2:O99="x",1))</f>
        <v>71</v>
      </c>
      <c r="P101" s="3">
        <f t="array" ref="P101">SUM(IF(P2:P99="x",1))</f>
        <v>76</v>
      </c>
    </row>
    <row r="102" ht="15.0" customHeight="1">
      <c r="A102" s="2" t="s">
        <v>128</v>
      </c>
      <c r="B102" s="3">
        <f t="shared" ref="B102:P102" si="1">B100+B103+B104+B105</f>
        <v>40</v>
      </c>
      <c r="C102" s="3">
        <f t="shared" si="1"/>
        <v>56</v>
      </c>
      <c r="D102" s="3">
        <f t="shared" si="1"/>
        <v>35</v>
      </c>
      <c r="E102" s="3">
        <f t="shared" si="1"/>
        <v>57</v>
      </c>
      <c r="F102" s="3">
        <f t="shared" si="1"/>
        <v>61</v>
      </c>
      <c r="G102" s="3">
        <f t="shared" si="1"/>
        <v>20</v>
      </c>
      <c r="H102" s="3">
        <f t="shared" si="1"/>
        <v>20</v>
      </c>
      <c r="I102" s="3">
        <f t="shared" si="1"/>
        <v>24</v>
      </c>
      <c r="J102" s="3">
        <f t="shared" si="1"/>
        <v>22</v>
      </c>
      <c r="K102" s="3">
        <f t="shared" si="1"/>
        <v>7</v>
      </c>
      <c r="L102" s="3">
        <f t="shared" si="1"/>
        <v>4</v>
      </c>
      <c r="M102" s="3">
        <f t="shared" si="1"/>
        <v>0</v>
      </c>
      <c r="N102" s="3">
        <f t="shared" si="1"/>
        <v>3</v>
      </c>
      <c r="O102" s="3">
        <f t="shared" si="1"/>
        <v>5</v>
      </c>
      <c r="P102" s="3">
        <f t="shared" si="1"/>
        <v>0</v>
      </c>
    </row>
    <row r="103" ht="12.75" customHeight="1">
      <c r="A103" s="2" t="s">
        <v>17</v>
      </c>
      <c r="B103" s="3">
        <f t="array" ref="B103">SUM(IF(B$2:B$99=$A103,1))</f>
        <v>2</v>
      </c>
      <c r="C103" s="3">
        <f t="array" ref="C103">SUM(IF(C$2:C$99=$A103,1))</f>
        <v>8</v>
      </c>
      <c r="D103" s="3">
        <f t="array" ref="D103">SUM(IF(D$2:D$99=$A103,1))</f>
        <v>7</v>
      </c>
      <c r="E103" s="3">
        <f t="array" ref="E103">SUM(IF(E$2:E$99=$A103,1))</f>
        <v>12</v>
      </c>
      <c r="F103" s="3">
        <f t="array" ref="F103">SUM(IF(F$2:F$99=$A103,1))</f>
        <v>12</v>
      </c>
      <c r="G103" s="3">
        <f t="array" ref="G103">SUM(IF(G$2:G$99=$A103,1))</f>
        <v>5</v>
      </c>
      <c r="H103" s="3">
        <f t="array" ref="H103">SUM(IF(H$2:H$99=$A103,1))</f>
        <v>6</v>
      </c>
      <c r="I103" s="3">
        <f t="array" ref="I103">SUM(IF(I$2:I$99=$A103,1))</f>
        <v>2</v>
      </c>
      <c r="J103" s="3">
        <f t="array" ref="J103">SUM(IF(J$2:J$99=$A103,1))</f>
        <v>8</v>
      </c>
      <c r="K103" s="3">
        <f t="array" ref="K103">SUM(IF(K$2:K$99=$A103,1))</f>
        <v>0</v>
      </c>
      <c r="L103" s="3">
        <f t="array" ref="L103">SUM(IF(L$2:L$99=$A103,1))</f>
        <v>0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</row>
    <row r="104" ht="12.75" customHeight="1">
      <c r="A104" s="2" t="s">
        <v>15</v>
      </c>
      <c r="B104" s="3">
        <f t="array" ref="B104">SUM(IF(B$2:B$99=$A104,1))</f>
        <v>12</v>
      </c>
      <c r="C104" s="3">
        <f t="array" ref="C104">SUM(IF(C$2:C$99=$A104,1))</f>
        <v>18</v>
      </c>
      <c r="D104" s="3">
        <f t="array" ref="D104">SUM(IF(D$2:D$99=$A104,1))</f>
        <v>10</v>
      </c>
      <c r="E104" s="3">
        <f t="array" ref="E104">SUM(IF(E$2:E$99=$A104,1))</f>
        <v>8</v>
      </c>
      <c r="F104" s="3">
        <f t="array" ref="F104">SUM(IF(F$2:F$99=$A104,1))</f>
        <v>8</v>
      </c>
      <c r="G104" s="3">
        <f t="array" ref="G104">SUM(IF(G$2:G$99=$A104,1))</f>
        <v>4</v>
      </c>
      <c r="H104" s="3">
        <f t="array" ref="H104">SUM(IF(H$2:H$99=$A104,1))</f>
        <v>5</v>
      </c>
      <c r="I104" s="3">
        <f t="array" ref="I104">SUM(IF(I$2:I$99=$A104,1))</f>
        <v>9</v>
      </c>
      <c r="J104" s="3">
        <f t="array" ref="J104">SUM(IF(J$2:J$99=$A104,1))</f>
        <v>5</v>
      </c>
      <c r="K104" s="3">
        <f t="array" ref="K104">SUM(IF(K$2:K$99=$A104,1))</f>
        <v>1</v>
      </c>
      <c r="L104" s="3">
        <f t="array" ref="L104">SUM(IF(L$2:L$99=$A104,1))</f>
        <v>0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1</v>
      </c>
      <c r="P104" s="3">
        <f t="array" ref="P104">SUM(IF(P$2:P$99=$A104,1))</f>
        <v>0</v>
      </c>
    </row>
    <row r="105" ht="12.75" customHeight="1">
      <c r="A105" s="2" t="s">
        <v>16</v>
      </c>
      <c r="B105" s="3">
        <f t="array" ref="B105">SUM(IF(B$2:B$99=$A105,1))</f>
        <v>20</v>
      </c>
      <c r="C105" s="3">
        <f t="array" ref="C105">SUM(IF(C$2:C$99=$A105,1))</f>
        <v>12</v>
      </c>
      <c r="D105" s="3">
        <f t="array" ref="D105">SUM(IF(D$2:D$99=$A105,1))</f>
        <v>6</v>
      </c>
      <c r="E105" s="3">
        <f t="array" ref="E105">SUM(IF(E$2:E$99=$A105,1))</f>
        <v>15</v>
      </c>
      <c r="F105" s="3">
        <f t="array" ref="F105">SUM(IF(F$2:F$99=$A105,1))</f>
        <v>15</v>
      </c>
      <c r="G105" s="3">
        <f t="array" ref="G105">SUM(IF(G$2:G$99=$A105,1))</f>
        <v>7</v>
      </c>
      <c r="H105" s="3">
        <f t="array" ref="H105">SUM(IF(H$2:H$99=$A105,1))</f>
        <v>6</v>
      </c>
      <c r="I105" s="3">
        <f t="array" ref="I105">SUM(IF(I$2:I$99=$A105,1))</f>
        <v>7</v>
      </c>
      <c r="J105" s="3">
        <f t="array" ref="J105">SUM(IF(J$2:J$99=$A105,1))</f>
        <v>3</v>
      </c>
      <c r="K105" s="3">
        <f t="array" ref="K105">SUM(IF(K$2:K$99=$A105,1))</f>
        <v>2</v>
      </c>
      <c r="L105" s="3">
        <f t="array" ref="L105">SUM(IF(L$2:L$99=$A105,1))</f>
        <v>1</v>
      </c>
      <c r="M105" s="3">
        <f t="array" ref="M105">SUM(IF(M$2:M$99=$A105,1))</f>
        <v>0</v>
      </c>
      <c r="N105" s="3">
        <f t="array" ref="N105">SUM(IF(N$2:N$99=$A105,1))</f>
        <v>1</v>
      </c>
      <c r="O105" s="3">
        <f t="array" ref="O105">SUM(IF(O$2:O$99=$A105,1))</f>
        <v>1</v>
      </c>
      <c r="P105" s="3">
        <f t="array" ref="P105">SUM(IF(P$2:P$99=$A105,1))</f>
        <v>0</v>
      </c>
    </row>
    <row r="106" ht="12.75" customHeight="1">
      <c r="A106" s="4" t="s">
        <v>129</v>
      </c>
      <c r="B106" s="4">
        <f t="shared" ref="B106:P106" si="2">B103+B104*2+B105*3</f>
        <v>86</v>
      </c>
      <c r="C106" s="4">
        <f t="shared" si="2"/>
        <v>80</v>
      </c>
      <c r="D106" s="4">
        <f t="shared" si="2"/>
        <v>45</v>
      </c>
      <c r="E106" s="4">
        <f t="shared" si="2"/>
        <v>73</v>
      </c>
      <c r="F106" s="4">
        <f t="shared" si="2"/>
        <v>73</v>
      </c>
      <c r="G106" s="4">
        <f t="shared" si="2"/>
        <v>34</v>
      </c>
      <c r="H106" s="4">
        <f t="shared" si="2"/>
        <v>34</v>
      </c>
      <c r="I106" s="4">
        <f t="shared" si="2"/>
        <v>41</v>
      </c>
      <c r="J106" s="4">
        <f t="shared" si="2"/>
        <v>27</v>
      </c>
      <c r="K106" s="4">
        <f t="shared" si="2"/>
        <v>8</v>
      </c>
      <c r="L106" s="4">
        <f t="shared" si="2"/>
        <v>3</v>
      </c>
      <c r="M106" s="4">
        <f t="shared" si="2"/>
        <v>0</v>
      </c>
      <c r="N106" s="4">
        <f t="shared" si="2"/>
        <v>3</v>
      </c>
      <c r="O106" s="4">
        <f t="shared" si="2"/>
        <v>5</v>
      </c>
      <c r="P106" s="4">
        <f t="shared" si="2"/>
        <v>0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2" t="s">
        <v>130</v>
      </c>
      <c r="B107" s="11">
        <f t="shared" ref="B107:P107" si="3">IF(B100+B103+B104+B105&lt;&gt;0,B106/(B100+B103+B104+B105),0)</f>
        <v>2.15</v>
      </c>
      <c r="C107" s="11">
        <f t="shared" si="3"/>
        <v>1.428571429</v>
      </c>
      <c r="D107" s="11">
        <f t="shared" si="3"/>
        <v>1.285714286</v>
      </c>
      <c r="E107" s="11">
        <f t="shared" si="3"/>
        <v>1.280701754</v>
      </c>
      <c r="F107" s="11">
        <f t="shared" si="3"/>
        <v>1.196721311</v>
      </c>
      <c r="G107" s="11">
        <f t="shared" si="3"/>
        <v>1.7</v>
      </c>
      <c r="H107" s="11">
        <f t="shared" si="3"/>
        <v>1.7</v>
      </c>
      <c r="I107" s="11">
        <f t="shared" si="3"/>
        <v>1.708333333</v>
      </c>
      <c r="J107" s="11">
        <f t="shared" si="3"/>
        <v>1.227272727</v>
      </c>
      <c r="K107" s="11">
        <f t="shared" si="3"/>
        <v>1.142857143</v>
      </c>
      <c r="L107" s="11">
        <f t="shared" si="3"/>
        <v>0.75</v>
      </c>
      <c r="M107" s="11">
        <f t="shared" si="3"/>
        <v>0</v>
      </c>
      <c r="N107" s="11">
        <f t="shared" si="3"/>
        <v>1</v>
      </c>
      <c r="O107" s="11">
        <f t="shared" si="3"/>
        <v>1</v>
      </c>
      <c r="P107" s="11">
        <f t="shared" si="3"/>
        <v>0</v>
      </c>
    </row>
    <row r="108" ht="13.5" customHeight="1">
      <c r="A108" s="2" t="s">
        <v>131</v>
      </c>
      <c r="B108" s="3">
        <f t="shared" ref="B108:P108" si="4">B102+B101</f>
        <v>76</v>
      </c>
      <c r="C108" s="3">
        <f t="shared" si="4"/>
        <v>76</v>
      </c>
      <c r="D108" s="3">
        <f t="shared" si="4"/>
        <v>76</v>
      </c>
      <c r="E108" s="3">
        <f t="shared" si="4"/>
        <v>76</v>
      </c>
      <c r="F108" s="3">
        <f t="shared" si="4"/>
        <v>76</v>
      </c>
      <c r="G108" s="3">
        <f t="shared" si="4"/>
        <v>76</v>
      </c>
      <c r="H108" s="3">
        <f t="shared" si="4"/>
        <v>76</v>
      </c>
      <c r="I108" s="3">
        <f t="shared" si="4"/>
        <v>76</v>
      </c>
      <c r="J108" s="3">
        <f t="shared" si="4"/>
        <v>76</v>
      </c>
      <c r="K108" s="3">
        <f t="shared" si="4"/>
        <v>76</v>
      </c>
      <c r="L108" s="3">
        <f t="shared" si="4"/>
        <v>76</v>
      </c>
      <c r="M108" s="3">
        <f t="shared" si="4"/>
        <v>76</v>
      </c>
      <c r="N108" s="3">
        <f t="shared" si="4"/>
        <v>76</v>
      </c>
      <c r="O108" s="3">
        <f t="shared" si="4"/>
        <v>76</v>
      </c>
      <c r="P108" s="3">
        <f t="shared" si="4"/>
        <v>76</v>
      </c>
    </row>
    <row r="109" ht="12.75" customHeight="1"/>
    <row r="110" ht="12.75" customHeight="1">
      <c r="A110" s="2" t="s">
        <v>132</v>
      </c>
      <c r="B110" s="3">
        <f>B106+G106+I106+J106</f>
        <v>188</v>
      </c>
      <c r="D110" s="2" t="s">
        <v>133</v>
      </c>
      <c r="E110" s="12">
        <f>B106+G106</f>
        <v>120</v>
      </c>
      <c r="G110" s="2" t="s">
        <v>134</v>
      </c>
      <c r="I110" s="2" t="s">
        <v>135</v>
      </c>
      <c r="J110" s="12">
        <f>B102+G102+I102+J102</f>
        <v>106</v>
      </c>
      <c r="K110" s="2" t="s">
        <v>136</v>
      </c>
      <c r="L110" s="3">
        <f>I106+J106</f>
        <v>68</v>
      </c>
      <c r="M110" s="3"/>
      <c r="N110" s="11">
        <f t="shared" ref="N110:N112" si="5">B110/J110</f>
        <v>1.773584906</v>
      </c>
    </row>
    <row r="111" ht="12.75" customHeight="1">
      <c r="A111" s="2" t="s">
        <v>137</v>
      </c>
      <c r="B111" s="3">
        <f>C106+E106+L106+H106</f>
        <v>190</v>
      </c>
      <c r="D111" s="2" t="s">
        <v>138</v>
      </c>
      <c r="E111" s="3">
        <f>L106</f>
        <v>3</v>
      </c>
      <c r="G111" s="2" t="s">
        <v>139</v>
      </c>
      <c r="I111" s="2" t="s">
        <v>135</v>
      </c>
      <c r="J111" s="12">
        <f>C102+E102+L102+H102</f>
        <v>137</v>
      </c>
      <c r="K111" s="2" t="s">
        <v>136</v>
      </c>
      <c r="L111" s="12">
        <f>C106+E106+H106</f>
        <v>187</v>
      </c>
      <c r="M111" s="12"/>
      <c r="N111" s="11">
        <f t="shared" si="5"/>
        <v>1.386861314</v>
      </c>
    </row>
    <row r="112" ht="12.75" customHeight="1">
      <c r="A112" s="2" t="s">
        <v>140</v>
      </c>
      <c r="B112" s="3">
        <f>D106+F106+K106+N106</f>
        <v>129</v>
      </c>
      <c r="D112" s="2" t="s">
        <v>141</v>
      </c>
      <c r="E112" s="3">
        <f>K106+N106</f>
        <v>11</v>
      </c>
      <c r="G112" s="2" t="s">
        <v>142</v>
      </c>
      <c r="I112" s="2" t="s">
        <v>135</v>
      </c>
      <c r="J112" s="12">
        <f>D102+F102+K102+N102</f>
        <v>106</v>
      </c>
      <c r="K112" s="2" t="s">
        <v>136</v>
      </c>
      <c r="L112" s="3">
        <f>D106+F106</f>
        <v>118</v>
      </c>
      <c r="M112" s="3"/>
      <c r="N112" s="11">
        <f t="shared" si="5"/>
        <v>1.216981132</v>
      </c>
    </row>
    <row r="113" ht="12.75" customHeight="1"/>
    <row r="114" ht="12.75" customHeight="1">
      <c r="A114" s="2" t="s">
        <v>143</v>
      </c>
      <c r="B114" s="3">
        <f>C106+D106+E106+F106+H106+I106+B115</f>
        <v>485</v>
      </c>
    </row>
    <row r="115" ht="12.75" customHeight="1">
      <c r="A115" s="2" t="s">
        <v>144</v>
      </c>
      <c r="B115" s="3">
        <f>B106+G106+L106+O106+K106+N106+P106</f>
        <v>139</v>
      </c>
    </row>
    <row r="116" ht="12.75" customHeight="1"/>
    <row r="117" ht="12.75" customHeight="1">
      <c r="A117" s="5" t="s">
        <v>145</v>
      </c>
      <c r="B117" s="5" t="s">
        <v>0</v>
      </c>
    </row>
    <row r="118" ht="12.75" customHeight="1"/>
    <row r="119" ht="12.75" customHeight="1">
      <c r="A119" s="2" t="s">
        <v>85</v>
      </c>
      <c r="B119" s="3">
        <f>SUM(IF($B1=B$117,1))+'2011'!B119</f>
        <v>2</v>
      </c>
      <c r="C119" s="3">
        <f>SUM(IF($C1=B$117,1))+'2011'!C119</f>
        <v>2</v>
      </c>
      <c r="D119" s="3">
        <f>SUM(IF($D1=B$117,1))+'2011'!D119</f>
        <v>0</v>
      </c>
      <c r="E119" s="3">
        <f>SUM(IF($E1=B$117,1))+'2011'!E119</f>
        <v>1</v>
      </c>
      <c r="F119" s="3">
        <f>SUM(IF($F1=B$117,1))+'2011'!F119</f>
        <v>0</v>
      </c>
      <c r="G119" s="3">
        <f>SUM(IF($G1=B$117,1))+'2011'!G119</f>
        <v>0</v>
      </c>
      <c r="H119" s="3">
        <f>SUM(IF($H1=B$117,1))+'2011'!H119</f>
        <v>0</v>
      </c>
      <c r="I119" s="3">
        <f>SUM(IF($I1=B$117,1))+'2011'!I119</f>
        <v>0</v>
      </c>
      <c r="J119" s="3">
        <f>SUM(IF($J1=B$117,1))+'2011'!J119</f>
        <v>0</v>
      </c>
      <c r="K119" s="3">
        <f>SUM(IF($K1=B$117,1))+'2011'!K119</f>
        <v>0</v>
      </c>
      <c r="L119" s="3">
        <f>SUM(IF($L1=B$117,1))+'2011'!L119</f>
        <v>0</v>
      </c>
      <c r="M119" s="3"/>
      <c r="N119" s="3">
        <f>SUM(IF($N1=B$117,1))+'2011'!N119</f>
        <v>0</v>
      </c>
      <c r="O119" s="3">
        <f>SUM(IF($O1=B$117,1))+'2011'!O119</f>
        <v>0</v>
      </c>
      <c r="P119" s="3">
        <f>SUM(IF($P1=B$117,1))+'2011'!P119</f>
        <v>0</v>
      </c>
    </row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77"/>
  <conditionalFormatting sqref="B2:P82 B99:P107 N110:N112">
    <cfRule type="cellIs" dxfId="0" priority="1" stopIfTrue="1" operator="equal">
      <formula>"PLATA"</formula>
    </cfRule>
  </conditionalFormatting>
  <conditionalFormatting sqref="B2:P82 B99:P107 N110:N112">
    <cfRule type="cellIs" dxfId="1" priority="2" stopIfTrue="1" operator="equal">
      <formula>"ORO"</formula>
    </cfRule>
  </conditionalFormatting>
  <conditionalFormatting sqref="B2:P82 B99:P107 N110:N112">
    <cfRule type="cellIs" dxfId="2" priority="3" stopIfTrue="1" operator="equal">
      <formula>"BRONCE"</formula>
    </cfRule>
  </conditionalFormatting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38"/>
    <col customWidth="1" min="2" max="2" width="13.25"/>
    <col customWidth="1" min="3" max="3" width="9.88"/>
    <col customWidth="1" min="4" max="4" width="9.63"/>
    <col customWidth="1" min="5" max="5" width="9.88"/>
    <col customWidth="1" min="6" max="6" width="9.75"/>
    <col customWidth="1" min="7" max="8" width="9.88"/>
    <col customWidth="1" min="9" max="9" width="9.63"/>
    <col customWidth="1" min="10" max="10" width="9.25"/>
    <col customWidth="1" min="11" max="11" width="9.38"/>
    <col customWidth="1" min="12" max="12" width="9.25"/>
    <col customWidth="1" min="13" max="13" width="10.75"/>
    <col customWidth="1" min="14" max="14" width="9.38"/>
    <col customWidth="1" min="15" max="15" width="9.88"/>
    <col customWidth="1" min="16" max="16" width="10.88"/>
    <col customWidth="1" min="17" max="26" width="10.75"/>
  </cols>
  <sheetData>
    <row r="1" ht="12.75" customHeight="1">
      <c r="A1" s="15">
        <v>2013.0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150</v>
      </c>
      <c r="P1" s="2" t="s">
        <v>151</v>
      </c>
    </row>
    <row r="2" ht="12.75" customHeight="1">
      <c r="A2" s="2" t="s">
        <v>18</v>
      </c>
      <c r="B2" s="3" t="s">
        <v>16</v>
      </c>
      <c r="C2" s="3" t="s">
        <v>89</v>
      </c>
      <c r="D2" s="3" t="s">
        <v>90</v>
      </c>
      <c r="E2" s="3" t="s">
        <v>89</v>
      </c>
      <c r="F2" s="3" t="s">
        <v>89</v>
      </c>
      <c r="G2" s="3" t="s">
        <v>89</v>
      </c>
      <c r="H2" s="3" t="s">
        <v>90</v>
      </c>
      <c r="I2" s="3" t="s">
        <v>90</v>
      </c>
      <c r="J2" s="3" t="s">
        <v>90</v>
      </c>
      <c r="K2" s="3" t="s">
        <v>16</v>
      </c>
      <c r="L2" s="3" t="s">
        <v>90</v>
      </c>
      <c r="M2" s="2" t="s">
        <v>16</v>
      </c>
      <c r="N2" s="3" t="s">
        <v>90</v>
      </c>
      <c r="O2" s="3" t="s">
        <v>90</v>
      </c>
      <c r="P2" s="3" t="s">
        <v>90</v>
      </c>
    </row>
    <row r="3" ht="12.75" customHeight="1">
      <c r="A3" s="2" t="s">
        <v>18</v>
      </c>
      <c r="B3" s="3" t="s">
        <v>16</v>
      </c>
      <c r="C3" s="3" t="s">
        <v>89</v>
      </c>
      <c r="D3" s="3" t="s">
        <v>90</v>
      </c>
      <c r="E3" s="3" t="s">
        <v>89</v>
      </c>
      <c r="F3" s="3" t="s">
        <v>16</v>
      </c>
      <c r="G3" s="3" t="s">
        <v>89</v>
      </c>
      <c r="H3" s="3" t="s">
        <v>90</v>
      </c>
      <c r="I3" s="3" t="s">
        <v>90</v>
      </c>
      <c r="J3" s="3" t="s">
        <v>90</v>
      </c>
      <c r="K3" s="3" t="s">
        <v>89</v>
      </c>
      <c r="L3" s="3" t="s">
        <v>90</v>
      </c>
      <c r="M3" s="3" t="s">
        <v>16</v>
      </c>
      <c r="N3" s="3" t="s">
        <v>90</v>
      </c>
      <c r="O3" s="3" t="s">
        <v>90</v>
      </c>
      <c r="P3" s="3" t="s">
        <v>90</v>
      </c>
    </row>
    <row r="4" ht="12.75" customHeight="1">
      <c r="A4" s="2" t="s">
        <v>196</v>
      </c>
      <c r="B4" s="3" t="s">
        <v>90</v>
      </c>
      <c r="C4" s="3" t="s">
        <v>89</v>
      </c>
      <c r="D4" s="3" t="s">
        <v>90</v>
      </c>
      <c r="E4" s="3" t="s">
        <v>16</v>
      </c>
      <c r="F4" s="3" t="s">
        <v>16</v>
      </c>
      <c r="G4" s="3" t="s">
        <v>90</v>
      </c>
      <c r="H4" s="3" t="s">
        <v>90</v>
      </c>
      <c r="I4" s="3" t="s">
        <v>90</v>
      </c>
      <c r="J4" s="3" t="s">
        <v>90</v>
      </c>
      <c r="K4" s="3" t="s">
        <v>89</v>
      </c>
      <c r="L4" s="3" t="s">
        <v>90</v>
      </c>
      <c r="M4" s="3" t="s">
        <v>90</v>
      </c>
      <c r="N4" s="3" t="s">
        <v>90</v>
      </c>
      <c r="O4" s="3" t="s">
        <v>90</v>
      </c>
      <c r="P4" s="3" t="s">
        <v>90</v>
      </c>
    </row>
    <row r="5" ht="12.75" customHeight="1">
      <c r="A5" s="2" t="s">
        <v>252</v>
      </c>
      <c r="B5" s="3" t="s">
        <v>89</v>
      </c>
      <c r="C5" s="3" t="s">
        <v>89</v>
      </c>
      <c r="D5" s="3" t="s">
        <v>90</v>
      </c>
      <c r="E5" s="3" t="s">
        <v>89</v>
      </c>
      <c r="F5" s="3" t="s">
        <v>16</v>
      </c>
      <c r="G5" s="3" t="s">
        <v>90</v>
      </c>
      <c r="H5" s="3" t="s">
        <v>90</v>
      </c>
      <c r="I5" s="3" t="s">
        <v>90</v>
      </c>
      <c r="J5" s="3" t="s">
        <v>16</v>
      </c>
      <c r="K5" s="3" t="s">
        <v>16</v>
      </c>
      <c r="L5" s="3" t="s">
        <v>90</v>
      </c>
      <c r="M5" s="3" t="s">
        <v>90</v>
      </c>
      <c r="N5" s="3" t="s">
        <v>90</v>
      </c>
      <c r="O5" s="3" t="s">
        <v>90</v>
      </c>
      <c r="P5" s="3" t="s">
        <v>90</v>
      </c>
    </row>
    <row r="6" ht="12.75" customHeight="1">
      <c r="A6" s="2" t="s">
        <v>23</v>
      </c>
      <c r="B6" s="3" t="s">
        <v>15</v>
      </c>
      <c r="C6" s="3" t="s">
        <v>15</v>
      </c>
      <c r="D6" s="3" t="s">
        <v>90</v>
      </c>
      <c r="E6" s="3" t="s">
        <v>17</v>
      </c>
      <c r="F6" s="3" t="s">
        <v>16</v>
      </c>
      <c r="G6" s="3" t="s">
        <v>17</v>
      </c>
      <c r="H6" s="3" t="s">
        <v>90</v>
      </c>
      <c r="I6" s="3" t="s">
        <v>90</v>
      </c>
      <c r="J6" s="3" t="s">
        <v>90</v>
      </c>
      <c r="K6" s="3" t="s">
        <v>16</v>
      </c>
      <c r="L6" s="3" t="s">
        <v>90</v>
      </c>
      <c r="M6" s="3" t="s">
        <v>90</v>
      </c>
      <c r="N6" s="3" t="s">
        <v>90</v>
      </c>
      <c r="O6" s="3" t="s">
        <v>90</v>
      </c>
      <c r="P6" s="3" t="s">
        <v>90</v>
      </c>
    </row>
    <row r="7" ht="12.75" customHeight="1">
      <c r="A7" s="2" t="s">
        <v>253</v>
      </c>
      <c r="B7" s="3" t="s">
        <v>89</v>
      </c>
      <c r="C7" s="3" t="s">
        <v>17</v>
      </c>
      <c r="D7" s="3" t="s">
        <v>90</v>
      </c>
      <c r="E7" s="3" t="s">
        <v>89</v>
      </c>
      <c r="F7" s="3" t="s">
        <v>16</v>
      </c>
      <c r="G7" s="3" t="s">
        <v>90</v>
      </c>
      <c r="H7" s="3" t="s">
        <v>90</v>
      </c>
      <c r="I7" s="3" t="s">
        <v>90</v>
      </c>
      <c r="J7" s="3" t="s">
        <v>89</v>
      </c>
      <c r="K7" s="3" t="s">
        <v>16</v>
      </c>
      <c r="L7" s="3" t="s">
        <v>90</v>
      </c>
      <c r="M7" s="3" t="s">
        <v>90</v>
      </c>
      <c r="N7" s="3" t="s">
        <v>90</v>
      </c>
      <c r="O7" s="3" t="s">
        <v>90</v>
      </c>
      <c r="P7" s="3" t="s">
        <v>90</v>
      </c>
    </row>
    <row r="8" ht="12.75" customHeight="1">
      <c r="A8" s="2" t="s">
        <v>254</v>
      </c>
      <c r="B8" s="3" t="s">
        <v>90</v>
      </c>
      <c r="C8" s="3" t="s">
        <v>15</v>
      </c>
      <c r="D8" s="3" t="s">
        <v>90</v>
      </c>
      <c r="E8" s="3" t="s">
        <v>16</v>
      </c>
      <c r="F8" s="3" t="s">
        <v>15</v>
      </c>
      <c r="G8" s="3" t="s">
        <v>90</v>
      </c>
      <c r="H8" s="3" t="s">
        <v>90</v>
      </c>
      <c r="I8" s="3" t="s">
        <v>90</v>
      </c>
      <c r="J8" s="3" t="s">
        <v>89</v>
      </c>
      <c r="K8" s="3" t="s">
        <v>16</v>
      </c>
      <c r="L8" s="3" t="s">
        <v>90</v>
      </c>
      <c r="M8" s="3" t="s">
        <v>90</v>
      </c>
      <c r="N8" s="3" t="s">
        <v>90</v>
      </c>
      <c r="O8" s="3" t="s">
        <v>90</v>
      </c>
      <c r="P8" s="3" t="s">
        <v>90</v>
      </c>
    </row>
    <row r="9" ht="12.75" customHeight="1">
      <c r="A9" s="2">
        <v>-1.0</v>
      </c>
      <c r="B9" s="3" t="s">
        <v>90</v>
      </c>
      <c r="C9" s="3" t="s">
        <v>90</v>
      </c>
      <c r="D9" s="3" t="s">
        <v>90</v>
      </c>
      <c r="E9" s="3" t="s">
        <v>90</v>
      </c>
      <c r="F9" s="3" t="s">
        <v>90</v>
      </c>
      <c r="G9" s="3" t="s">
        <v>90</v>
      </c>
      <c r="H9" s="3" t="s">
        <v>90</v>
      </c>
      <c r="I9" s="3" t="s">
        <v>90</v>
      </c>
      <c r="J9" s="3" t="s">
        <v>90</v>
      </c>
      <c r="K9" s="3" t="s">
        <v>15</v>
      </c>
      <c r="L9" s="3" t="s">
        <v>16</v>
      </c>
      <c r="M9" s="3" t="s">
        <v>90</v>
      </c>
      <c r="N9" s="3" t="s">
        <v>90</v>
      </c>
      <c r="O9" s="3" t="s">
        <v>90</v>
      </c>
      <c r="P9" s="3" t="s">
        <v>90</v>
      </c>
    </row>
    <row r="10" ht="12.75" customHeight="1">
      <c r="A10" s="2">
        <v>-1.0</v>
      </c>
      <c r="B10" s="3" t="s">
        <v>90</v>
      </c>
      <c r="C10" s="3" t="s">
        <v>90</v>
      </c>
      <c r="D10" s="3" t="s">
        <v>90</v>
      </c>
      <c r="E10" s="3" t="s">
        <v>90</v>
      </c>
      <c r="F10" s="3" t="s">
        <v>16</v>
      </c>
      <c r="G10" s="3" t="s">
        <v>90</v>
      </c>
      <c r="H10" s="3" t="s">
        <v>90</v>
      </c>
      <c r="I10" s="3" t="s">
        <v>90</v>
      </c>
      <c r="J10" s="3" t="s">
        <v>90</v>
      </c>
      <c r="K10" s="3" t="s">
        <v>15</v>
      </c>
      <c r="L10" s="3" t="s">
        <v>17</v>
      </c>
      <c r="M10" s="3" t="s">
        <v>90</v>
      </c>
      <c r="N10" s="3" t="s">
        <v>90</v>
      </c>
      <c r="O10" s="3" t="s">
        <v>90</v>
      </c>
      <c r="P10" s="3" t="s">
        <v>90</v>
      </c>
    </row>
    <row r="11" ht="12.75" customHeight="1">
      <c r="A11" s="2" t="s">
        <v>91</v>
      </c>
      <c r="B11" s="3" t="s">
        <v>89</v>
      </c>
      <c r="C11" s="3" t="s">
        <v>15</v>
      </c>
      <c r="D11" s="3" t="s">
        <v>90</v>
      </c>
      <c r="E11" s="3" t="s">
        <v>89</v>
      </c>
      <c r="F11" s="3" t="s">
        <v>16</v>
      </c>
      <c r="G11" s="3" t="s">
        <v>89</v>
      </c>
      <c r="H11" s="3" t="s">
        <v>89</v>
      </c>
      <c r="I11" s="3" t="s">
        <v>90</v>
      </c>
      <c r="J11" s="3" t="s">
        <v>89</v>
      </c>
      <c r="K11" s="3" t="s">
        <v>15</v>
      </c>
      <c r="L11" s="3" t="s">
        <v>90</v>
      </c>
      <c r="M11" s="3" t="s">
        <v>89</v>
      </c>
      <c r="N11" s="3" t="s">
        <v>90</v>
      </c>
      <c r="O11" s="3" t="s">
        <v>90</v>
      </c>
      <c r="P11" s="3" t="s">
        <v>90</v>
      </c>
    </row>
    <row r="12" ht="12.75" customHeight="1">
      <c r="A12" s="2" t="s">
        <v>92</v>
      </c>
      <c r="B12" s="3" t="s">
        <v>90</v>
      </c>
      <c r="C12" s="3" t="s">
        <v>15</v>
      </c>
      <c r="D12" s="3" t="s">
        <v>90</v>
      </c>
      <c r="E12" s="3" t="s">
        <v>16</v>
      </c>
      <c r="F12" s="3" t="s">
        <v>16</v>
      </c>
      <c r="G12" s="3" t="s">
        <v>90</v>
      </c>
      <c r="H12" s="3" t="s">
        <v>90</v>
      </c>
      <c r="I12" s="3" t="s">
        <v>90</v>
      </c>
      <c r="J12" s="3" t="s">
        <v>15</v>
      </c>
      <c r="K12" s="3" t="s">
        <v>90</v>
      </c>
      <c r="L12" s="3" t="s">
        <v>90</v>
      </c>
      <c r="M12" s="3" t="s">
        <v>90</v>
      </c>
      <c r="N12" s="3" t="s">
        <v>90</v>
      </c>
      <c r="O12" s="3" t="s">
        <v>90</v>
      </c>
      <c r="P12" s="3" t="s">
        <v>90</v>
      </c>
    </row>
    <row r="13" ht="12.75" customHeight="1">
      <c r="A13" s="2" t="s">
        <v>255</v>
      </c>
      <c r="B13" s="3" t="s">
        <v>90</v>
      </c>
      <c r="C13" s="3" t="s">
        <v>90</v>
      </c>
      <c r="D13" s="3" t="s">
        <v>90</v>
      </c>
      <c r="E13" s="3" t="s">
        <v>90</v>
      </c>
      <c r="F13" s="3" t="s">
        <v>90</v>
      </c>
      <c r="G13" s="3" t="s">
        <v>90</v>
      </c>
      <c r="H13" s="3" t="s">
        <v>15</v>
      </c>
      <c r="I13" s="3" t="s">
        <v>17</v>
      </c>
      <c r="J13" s="3" t="s">
        <v>16</v>
      </c>
      <c r="K13" s="3" t="s">
        <v>90</v>
      </c>
      <c r="L13" s="3" t="s">
        <v>90</v>
      </c>
      <c r="M13" s="3" t="s">
        <v>90</v>
      </c>
      <c r="N13" s="3" t="s">
        <v>90</v>
      </c>
      <c r="O13" s="3" t="s">
        <v>90</v>
      </c>
      <c r="P13" s="3" t="s">
        <v>90</v>
      </c>
    </row>
    <row r="14" ht="12.75" customHeight="1">
      <c r="A14" s="2" t="s">
        <v>31</v>
      </c>
      <c r="B14" s="3" t="s">
        <v>15</v>
      </c>
      <c r="C14" s="3" t="s">
        <v>89</v>
      </c>
      <c r="D14" s="3" t="s">
        <v>90</v>
      </c>
      <c r="E14" s="3" t="s">
        <v>89</v>
      </c>
      <c r="F14" s="3" t="s">
        <v>89</v>
      </c>
      <c r="G14" s="3" t="s">
        <v>90</v>
      </c>
      <c r="H14" s="3" t="s">
        <v>89</v>
      </c>
      <c r="I14" s="3" t="s">
        <v>17</v>
      </c>
      <c r="J14" s="3" t="s">
        <v>90</v>
      </c>
      <c r="K14" s="3" t="s">
        <v>16</v>
      </c>
      <c r="L14" s="3" t="s">
        <v>89</v>
      </c>
      <c r="M14" s="3" t="s">
        <v>90</v>
      </c>
      <c r="N14" s="3" t="s">
        <v>90</v>
      </c>
      <c r="O14" s="3" t="s">
        <v>90</v>
      </c>
      <c r="P14" s="3" t="s">
        <v>90</v>
      </c>
    </row>
    <row r="15" ht="12.75" customHeight="1">
      <c r="A15" s="2" t="s">
        <v>27</v>
      </c>
      <c r="B15" s="3" t="s">
        <v>89</v>
      </c>
      <c r="C15" s="3" t="s">
        <v>16</v>
      </c>
      <c r="D15" s="3" t="s">
        <v>90</v>
      </c>
      <c r="E15" s="3" t="s">
        <v>15</v>
      </c>
      <c r="F15" s="3" t="s">
        <v>15</v>
      </c>
      <c r="G15" s="3" t="s">
        <v>90</v>
      </c>
      <c r="H15" s="3" t="s">
        <v>89</v>
      </c>
      <c r="I15" s="3" t="s">
        <v>89</v>
      </c>
      <c r="J15" s="3" t="s">
        <v>89</v>
      </c>
      <c r="K15" s="3" t="s">
        <v>90</v>
      </c>
      <c r="L15" s="3" t="s">
        <v>90</v>
      </c>
      <c r="M15" s="3" t="s">
        <v>90</v>
      </c>
      <c r="N15" s="3" t="s">
        <v>90</v>
      </c>
      <c r="O15" s="3" t="s">
        <v>90</v>
      </c>
      <c r="P15" s="3" t="s">
        <v>90</v>
      </c>
    </row>
    <row r="16" ht="12.75" customHeight="1">
      <c r="A16" s="2" t="s">
        <v>27</v>
      </c>
      <c r="B16" s="3" t="s">
        <v>90</v>
      </c>
      <c r="C16" s="3" t="s">
        <v>17</v>
      </c>
      <c r="D16" s="3" t="s">
        <v>90</v>
      </c>
      <c r="E16" s="3" t="s">
        <v>17</v>
      </c>
      <c r="F16" s="3" t="s">
        <v>17</v>
      </c>
      <c r="G16" s="3" t="s">
        <v>90</v>
      </c>
      <c r="H16" s="3" t="s">
        <v>90</v>
      </c>
      <c r="I16" s="3" t="s">
        <v>90</v>
      </c>
      <c r="J16" s="3" t="s">
        <v>90</v>
      </c>
      <c r="K16" s="3" t="s">
        <v>90</v>
      </c>
      <c r="L16" s="3" t="s">
        <v>89</v>
      </c>
      <c r="M16" s="3" t="s">
        <v>15</v>
      </c>
      <c r="N16" s="3" t="s">
        <v>90</v>
      </c>
      <c r="O16" s="3" t="s">
        <v>16</v>
      </c>
      <c r="P16" s="3" t="s">
        <v>90</v>
      </c>
    </row>
    <row r="17" ht="12.75" customHeight="1">
      <c r="A17" s="2" t="s">
        <v>256</v>
      </c>
      <c r="B17" s="3" t="s">
        <v>17</v>
      </c>
      <c r="C17" s="3" t="s">
        <v>16</v>
      </c>
      <c r="D17" s="3" t="s">
        <v>90</v>
      </c>
      <c r="E17" s="3" t="s">
        <v>15</v>
      </c>
      <c r="F17" s="3" t="s">
        <v>89</v>
      </c>
      <c r="G17" s="3" t="s">
        <v>90</v>
      </c>
      <c r="H17" s="3" t="s">
        <v>90</v>
      </c>
      <c r="I17" s="3" t="s">
        <v>90</v>
      </c>
      <c r="J17" s="3" t="s">
        <v>90</v>
      </c>
      <c r="K17" s="3" t="s">
        <v>90</v>
      </c>
      <c r="L17" s="3" t="s">
        <v>90</v>
      </c>
      <c r="M17" s="3" t="s">
        <v>90</v>
      </c>
      <c r="N17" s="3" t="s">
        <v>90</v>
      </c>
      <c r="O17" s="3" t="s">
        <v>90</v>
      </c>
      <c r="P17" s="3" t="s">
        <v>90</v>
      </c>
    </row>
    <row r="18" ht="12.75" customHeight="1">
      <c r="A18" s="2" t="s">
        <v>196</v>
      </c>
      <c r="B18" s="3" t="s">
        <v>15</v>
      </c>
      <c r="C18" s="3" t="s">
        <v>17</v>
      </c>
      <c r="D18" s="3" t="s">
        <v>90</v>
      </c>
      <c r="E18" s="3" t="s">
        <v>15</v>
      </c>
      <c r="F18" s="3" t="s">
        <v>16</v>
      </c>
      <c r="G18" s="3" t="s">
        <v>90</v>
      </c>
      <c r="H18" s="3" t="s">
        <v>90</v>
      </c>
      <c r="I18" s="3" t="s">
        <v>90</v>
      </c>
      <c r="J18" s="3" t="s">
        <v>90</v>
      </c>
      <c r="K18" s="3" t="s">
        <v>90</v>
      </c>
      <c r="L18" s="3" t="s">
        <v>90</v>
      </c>
      <c r="M18" s="3" t="s">
        <v>90</v>
      </c>
      <c r="N18" s="3" t="s">
        <v>90</v>
      </c>
      <c r="O18" s="3" t="s">
        <v>90</v>
      </c>
      <c r="P18" s="3" t="s">
        <v>90</v>
      </c>
    </row>
    <row r="19" ht="12.75" customHeight="1">
      <c r="A19" s="2">
        <v>-1.0</v>
      </c>
      <c r="B19" s="3" t="s">
        <v>15</v>
      </c>
      <c r="C19" s="3" t="s">
        <v>17</v>
      </c>
      <c r="D19" s="3" t="s">
        <v>90</v>
      </c>
      <c r="E19" s="3" t="s">
        <v>16</v>
      </c>
      <c r="F19" s="3" t="s">
        <v>17</v>
      </c>
      <c r="G19" s="3" t="s">
        <v>89</v>
      </c>
      <c r="H19" s="3" t="s">
        <v>90</v>
      </c>
      <c r="I19" s="3" t="s">
        <v>90</v>
      </c>
      <c r="J19" s="3" t="s">
        <v>90</v>
      </c>
      <c r="K19" s="3" t="s">
        <v>90</v>
      </c>
      <c r="L19" s="3" t="s">
        <v>90</v>
      </c>
      <c r="M19" s="3" t="s">
        <v>90</v>
      </c>
      <c r="N19" s="3" t="s">
        <v>90</v>
      </c>
      <c r="O19" s="3" t="s">
        <v>90</v>
      </c>
      <c r="P19" s="3" t="s">
        <v>90</v>
      </c>
    </row>
    <row r="20" ht="12.75" customHeight="1">
      <c r="A20" s="2" t="s">
        <v>29</v>
      </c>
      <c r="B20" s="3" t="s">
        <v>16</v>
      </c>
      <c r="C20" s="3" t="s">
        <v>89</v>
      </c>
      <c r="D20" s="3" t="s">
        <v>90</v>
      </c>
      <c r="E20" s="3" t="s">
        <v>89</v>
      </c>
      <c r="F20" s="3" t="s">
        <v>16</v>
      </c>
      <c r="G20" s="3" t="s">
        <v>89</v>
      </c>
      <c r="H20" s="3" t="s">
        <v>90</v>
      </c>
      <c r="I20" s="3" t="s">
        <v>90</v>
      </c>
      <c r="J20" s="3" t="s">
        <v>90</v>
      </c>
      <c r="K20" s="3" t="s">
        <v>90</v>
      </c>
      <c r="L20" s="3" t="s">
        <v>90</v>
      </c>
      <c r="M20" s="3" t="s">
        <v>90</v>
      </c>
      <c r="N20" s="3" t="s">
        <v>90</v>
      </c>
      <c r="O20" s="3" t="s">
        <v>90</v>
      </c>
      <c r="P20" s="3" t="s">
        <v>90</v>
      </c>
    </row>
    <row r="21" ht="12.75" customHeight="1">
      <c r="A21" s="2" t="s">
        <v>257</v>
      </c>
      <c r="B21" s="3" t="s">
        <v>17</v>
      </c>
      <c r="C21" s="3" t="s">
        <v>89</v>
      </c>
      <c r="D21" s="3" t="s">
        <v>90</v>
      </c>
      <c r="E21" s="3" t="s">
        <v>15</v>
      </c>
      <c r="F21" s="3" t="s">
        <v>16</v>
      </c>
      <c r="G21" s="3" t="s">
        <v>90</v>
      </c>
      <c r="H21" s="3" t="s">
        <v>90</v>
      </c>
      <c r="I21" s="3" t="s">
        <v>90</v>
      </c>
      <c r="J21" s="3" t="s">
        <v>17</v>
      </c>
      <c r="K21" s="3" t="s">
        <v>90</v>
      </c>
      <c r="L21" s="3" t="s">
        <v>90</v>
      </c>
      <c r="M21" s="3" t="s">
        <v>90</v>
      </c>
      <c r="N21" s="3" t="s">
        <v>90</v>
      </c>
      <c r="O21" s="3" t="s">
        <v>89</v>
      </c>
      <c r="P21" s="3" t="s">
        <v>90</v>
      </c>
    </row>
    <row r="22" ht="12.75" customHeight="1">
      <c r="A22" s="2" t="s">
        <v>258</v>
      </c>
      <c r="B22" s="3" t="s">
        <v>16</v>
      </c>
      <c r="C22" s="3" t="s">
        <v>89</v>
      </c>
      <c r="D22" s="3" t="s">
        <v>90</v>
      </c>
      <c r="E22" s="3" t="s">
        <v>89</v>
      </c>
      <c r="F22" s="3" t="s">
        <v>89</v>
      </c>
      <c r="G22" s="3" t="s">
        <v>90</v>
      </c>
      <c r="H22" s="3" t="s">
        <v>90</v>
      </c>
      <c r="I22" s="3" t="s">
        <v>90</v>
      </c>
      <c r="J22" s="3" t="s">
        <v>89</v>
      </c>
      <c r="K22" s="3" t="s">
        <v>90</v>
      </c>
      <c r="L22" s="3" t="s">
        <v>90</v>
      </c>
      <c r="M22" s="3" t="s">
        <v>90</v>
      </c>
      <c r="N22" s="3" t="s">
        <v>90</v>
      </c>
      <c r="O22" s="3" t="s">
        <v>89</v>
      </c>
      <c r="P22" s="3" t="s">
        <v>90</v>
      </c>
    </row>
    <row r="23" ht="12.75" customHeight="1">
      <c r="A23" s="2" t="s">
        <v>259</v>
      </c>
      <c r="B23" s="3" t="s">
        <v>16</v>
      </c>
      <c r="C23" s="3" t="s">
        <v>89</v>
      </c>
      <c r="D23" s="3" t="s">
        <v>90</v>
      </c>
      <c r="E23" s="3" t="s">
        <v>17</v>
      </c>
      <c r="F23" s="3" t="s">
        <v>15</v>
      </c>
      <c r="G23" s="3" t="s">
        <v>90</v>
      </c>
      <c r="H23" s="3" t="s">
        <v>90</v>
      </c>
      <c r="I23" s="3" t="s">
        <v>90</v>
      </c>
      <c r="J23" s="3" t="s">
        <v>89</v>
      </c>
      <c r="K23" s="3" t="s">
        <v>90</v>
      </c>
      <c r="L23" s="3" t="s">
        <v>90</v>
      </c>
      <c r="M23" s="3" t="s">
        <v>90</v>
      </c>
      <c r="N23" s="3" t="s">
        <v>90</v>
      </c>
      <c r="O23" s="3" t="s">
        <v>89</v>
      </c>
      <c r="P23" s="3" t="s">
        <v>90</v>
      </c>
    </row>
    <row r="24" ht="12.75" customHeight="1">
      <c r="A24" s="2" t="s">
        <v>260</v>
      </c>
      <c r="B24" s="3" t="s">
        <v>15</v>
      </c>
      <c r="C24" s="3" t="s">
        <v>15</v>
      </c>
      <c r="D24" s="3" t="s">
        <v>90</v>
      </c>
      <c r="E24" s="3" t="s">
        <v>89</v>
      </c>
      <c r="F24" s="3" t="s">
        <v>16</v>
      </c>
      <c r="G24" s="3" t="s">
        <v>90</v>
      </c>
      <c r="H24" s="3" t="s">
        <v>90</v>
      </c>
      <c r="I24" s="3" t="s">
        <v>89</v>
      </c>
      <c r="J24" s="3" t="s">
        <v>89</v>
      </c>
      <c r="K24" s="3" t="s">
        <v>90</v>
      </c>
      <c r="L24" s="3" t="s">
        <v>90</v>
      </c>
      <c r="M24" s="3" t="s">
        <v>90</v>
      </c>
      <c r="N24" s="3" t="s">
        <v>90</v>
      </c>
      <c r="O24" s="3" t="s">
        <v>90</v>
      </c>
      <c r="P24" s="3" t="s">
        <v>90</v>
      </c>
    </row>
    <row r="25" ht="12.75" customHeight="1">
      <c r="A25" s="2" t="s">
        <v>261</v>
      </c>
      <c r="B25" s="3" t="s">
        <v>16</v>
      </c>
      <c r="C25" s="3" t="s">
        <v>15</v>
      </c>
      <c r="D25" s="3" t="s">
        <v>90</v>
      </c>
      <c r="E25" s="3" t="s">
        <v>17</v>
      </c>
      <c r="F25" s="3" t="s">
        <v>89</v>
      </c>
      <c r="G25" s="3" t="s">
        <v>90</v>
      </c>
      <c r="H25" s="3" t="s">
        <v>90</v>
      </c>
      <c r="I25" s="3" t="s">
        <v>89</v>
      </c>
      <c r="J25" s="3" t="s">
        <v>89</v>
      </c>
      <c r="K25" s="3" t="s">
        <v>90</v>
      </c>
      <c r="L25" s="3" t="s">
        <v>90</v>
      </c>
      <c r="M25" s="3" t="s">
        <v>90</v>
      </c>
      <c r="N25" s="3" t="s">
        <v>90</v>
      </c>
      <c r="O25" s="3" t="s">
        <v>90</v>
      </c>
      <c r="P25" s="3" t="s">
        <v>90</v>
      </c>
    </row>
    <row r="26" ht="12.75" customHeight="1">
      <c r="A26" s="2" t="s">
        <v>262</v>
      </c>
      <c r="B26" s="3" t="s">
        <v>89</v>
      </c>
      <c r="C26" s="3" t="s">
        <v>15</v>
      </c>
      <c r="D26" s="3" t="s">
        <v>90</v>
      </c>
      <c r="E26" s="3" t="s">
        <v>89</v>
      </c>
      <c r="F26" s="3" t="s">
        <v>17</v>
      </c>
      <c r="G26" s="3" t="s">
        <v>16</v>
      </c>
      <c r="H26" s="3" t="s">
        <v>89</v>
      </c>
      <c r="I26" s="3" t="s">
        <v>90</v>
      </c>
      <c r="J26" s="3" t="s">
        <v>90</v>
      </c>
      <c r="K26" s="3" t="s">
        <v>90</v>
      </c>
      <c r="L26" s="3" t="s">
        <v>90</v>
      </c>
      <c r="M26" s="3" t="s">
        <v>90</v>
      </c>
      <c r="N26" s="3" t="s">
        <v>90</v>
      </c>
      <c r="O26" s="3" t="s">
        <v>90</v>
      </c>
      <c r="P26" s="3" t="s">
        <v>90</v>
      </c>
    </row>
    <row r="27" ht="12.75" customHeight="1">
      <c r="A27" s="2" t="s">
        <v>91</v>
      </c>
      <c r="B27" s="3" t="s">
        <v>17</v>
      </c>
      <c r="C27" s="3" t="s">
        <v>89</v>
      </c>
      <c r="D27" s="3" t="s">
        <v>90</v>
      </c>
      <c r="E27" s="3" t="s">
        <v>89</v>
      </c>
      <c r="F27" s="3" t="s">
        <v>15</v>
      </c>
      <c r="G27" s="3" t="s">
        <v>90</v>
      </c>
      <c r="H27" s="3" t="s">
        <v>89</v>
      </c>
      <c r="I27" s="3" t="s">
        <v>89</v>
      </c>
      <c r="J27" s="3" t="s">
        <v>90</v>
      </c>
      <c r="K27" s="3" t="s">
        <v>90</v>
      </c>
      <c r="L27" s="3" t="s">
        <v>90</v>
      </c>
      <c r="M27" s="3" t="s">
        <v>16</v>
      </c>
      <c r="N27" s="3" t="s">
        <v>90</v>
      </c>
      <c r="O27" s="3" t="s">
        <v>90</v>
      </c>
      <c r="P27" s="3" t="s">
        <v>90</v>
      </c>
    </row>
    <row r="28" ht="12.75" customHeight="1">
      <c r="A28" s="2" t="s">
        <v>263</v>
      </c>
      <c r="B28" s="3" t="s">
        <v>16</v>
      </c>
      <c r="C28" s="3" t="s">
        <v>15</v>
      </c>
      <c r="D28" s="3" t="s">
        <v>90</v>
      </c>
      <c r="E28" s="3" t="s">
        <v>15</v>
      </c>
      <c r="F28" s="3" t="s">
        <v>17</v>
      </c>
      <c r="G28" s="3" t="s">
        <v>90</v>
      </c>
      <c r="H28" s="3" t="s">
        <v>90</v>
      </c>
      <c r="I28" s="3" t="s">
        <v>15</v>
      </c>
      <c r="J28" s="3" t="s">
        <v>89</v>
      </c>
      <c r="K28" s="3" t="s">
        <v>90</v>
      </c>
      <c r="L28" s="3" t="s">
        <v>90</v>
      </c>
      <c r="M28" s="3" t="s">
        <v>90</v>
      </c>
      <c r="N28" s="3" t="s">
        <v>90</v>
      </c>
      <c r="O28" s="3" t="s">
        <v>90</v>
      </c>
      <c r="P28" s="3" t="s">
        <v>90</v>
      </c>
    </row>
    <row r="29" ht="12.75" customHeight="1">
      <c r="A29" s="2" t="s">
        <v>264</v>
      </c>
      <c r="B29" s="3" t="s">
        <v>15</v>
      </c>
      <c r="C29" s="3" t="s">
        <v>16</v>
      </c>
      <c r="D29" s="3" t="s">
        <v>90</v>
      </c>
      <c r="E29" s="3" t="s">
        <v>17</v>
      </c>
      <c r="F29" s="3" t="s">
        <v>89</v>
      </c>
      <c r="G29" s="3" t="s">
        <v>90</v>
      </c>
      <c r="H29" s="3" t="s">
        <v>90</v>
      </c>
      <c r="I29" s="3" t="s">
        <v>89</v>
      </c>
      <c r="J29" s="3" t="s">
        <v>89</v>
      </c>
      <c r="K29" s="3" t="s">
        <v>90</v>
      </c>
      <c r="L29" s="3" t="s">
        <v>90</v>
      </c>
      <c r="M29" s="3" t="s">
        <v>90</v>
      </c>
      <c r="N29" s="3" t="s">
        <v>90</v>
      </c>
      <c r="O29" s="3" t="s">
        <v>90</v>
      </c>
      <c r="P29" s="3" t="s">
        <v>90</v>
      </c>
    </row>
    <row r="30" ht="12.75" customHeight="1">
      <c r="A30" s="2" t="s">
        <v>265</v>
      </c>
      <c r="B30" s="3" t="s">
        <v>17</v>
      </c>
      <c r="C30" s="3" t="s">
        <v>16</v>
      </c>
      <c r="D30" s="3" t="s">
        <v>90</v>
      </c>
      <c r="E30" s="3" t="s">
        <v>15</v>
      </c>
      <c r="F30" s="3" t="s">
        <v>15</v>
      </c>
      <c r="G30" s="3" t="s">
        <v>90</v>
      </c>
      <c r="H30" s="3" t="s">
        <v>17</v>
      </c>
      <c r="I30" s="3" t="s">
        <v>16</v>
      </c>
      <c r="J30" s="3" t="s">
        <v>17</v>
      </c>
      <c r="K30" s="3" t="s">
        <v>90</v>
      </c>
      <c r="L30" s="3" t="s">
        <v>90</v>
      </c>
      <c r="M30" s="3" t="s">
        <v>90</v>
      </c>
      <c r="N30" s="3" t="s">
        <v>90</v>
      </c>
      <c r="O30" s="3" t="s">
        <v>90</v>
      </c>
      <c r="P30" s="3" t="s">
        <v>90</v>
      </c>
    </row>
    <row r="31" ht="12.75" customHeight="1">
      <c r="A31" s="2" t="s">
        <v>44</v>
      </c>
      <c r="B31" s="3" t="s">
        <v>16</v>
      </c>
      <c r="C31" s="3" t="s">
        <v>15</v>
      </c>
      <c r="D31" s="3" t="s">
        <v>90</v>
      </c>
      <c r="E31" s="3" t="s">
        <v>17</v>
      </c>
      <c r="F31" s="3" t="s">
        <v>89</v>
      </c>
      <c r="G31" s="3" t="s">
        <v>90</v>
      </c>
      <c r="H31" s="3" t="s">
        <v>89</v>
      </c>
      <c r="I31" s="3" t="s">
        <v>90</v>
      </c>
      <c r="J31" s="3" t="s">
        <v>89</v>
      </c>
      <c r="K31" s="3" t="s">
        <v>90</v>
      </c>
      <c r="L31" s="3" t="s">
        <v>90</v>
      </c>
      <c r="M31" s="3" t="s">
        <v>90</v>
      </c>
      <c r="N31" s="3" t="s">
        <v>90</v>
      </c>
      <c r="O31" s="3" t="s">
        <v>90</v>
      </c>
      <c r="P31" s="3" t="s">
        <v>90</v>
      </c>
    </row>
    <row r="32" ht="12.75" customHeight="1">
      <c r="A32" s="2" t="s">
        <v>196</v>
      </c>
      <c r="B32" s="3" t="s">
        <v>15</v>
      </c>
      <c r="C32" s="3" t="s">
        <v>15</v>
      </c>
      <c r="D32" s="3" t="s">
        <v>90</v>
      </c>
      <c r="E32" s="3" t="s">
        <v>16</v>
      </c>
      <c r="F32" s="3" t="s">
        <v>15</v>
      </c>
      <c r="G32" s="3" t="s">
        <v>90</v>
      </c>
      <c r="H32" s="3" t="s">
        <v>90</v>
      </c>
      <c r="I32" s="3" t="s">
        <v>90</v>
      </c>
      <c r="J32" s="3" t="s">
        <v>90</v>
      </c>
      <c r="K32" s="3" t="s">
        <v>90</v>
      </c>
      <c r="L32" s="3" t="s">
        <v>90</v>
      </c>
      <c r="M32" s="3" t="s">
        <v>90</v>
      </c>
      <c r="N32" s="3" t="s">
        <v>90</v>
      </c>
      <c r="O32" s="3" t="s">
        <v>90</v>
      </c>
      <c r="P32" s="3" t="s">
        <v>90</v>
      </c>
    </row>
    <row r="33" ht="12.75" customHeight="1">
      <c r="A33" s="2" t="s">
        <v>266</v>
      </c>
      <c r="B33" s="3" t="s">
        <v>17</v>
      </c>
      <c r="C33" s="3" t="s">
        <v>16</v>
      </c>
      <c r="D33" s="3" t="s">
        <v>90</v>
      </c>
      <c r="E33" s="3" t="s">
        <v>15</v>
      </c>
      <c r="F33" s="3" t="s">
        <v>15</v>
      </c>
      <c r="G33" s="3" t="s">
        <v>90</v>
      </c>
      <c r="H33" s="3" t="s">
        <v>89</v>
      </c>
      <c r="I33" s="3" t="s">
        <v>89</v>
      </c>
      <c r="J33" s="3" t="s">
        <v>89</v>
      </c>
      <c r="K33" s="3" t="s">
        <v>90</v>
      </c>
      <c r="L33" s="3" t="s">
        <v>90</v>
      </c>
      <c r="M33" s="3" t="s">
        <v>90</v>
      </c>
      <c r="N33" s="3" t="s">
        <v>90</v>
      </c>
      <c r="O33" s="3" t="s">
        <v>90</v>
      </c>
      <c r="P33" s="3" t="s">
        <v>90</v>
      </c>
    </row>
    <row r="34" ht="12.75" customHeight="1">
      <c r="A34" s="2" t="s">
        <v>39</v>
      </c>
      <c r="B34" s="3" t="s">
        <v>90</v>
      </c>
      <c r="C34" s="3" t="s">
        <v>16</v>
      </c>
      <c r="D34" s="3" t="s">
        <v>90</v>
      </c>
      <c r="E34" s="3" t="s">
        <v>89</v>
      </c>
      <c r="F34" s="3" t="s">
        <v>16</v>
      </c>
      <c r="G34" s="3" t="s">
        <v>89</v>
      </c>
      <c r="H34" s="3" t="s">
        <v>89</v>
      </c>
      <c r="I34" s="3" t="s">
        <v>16</v>
      </c>
      <c r="J34" s="3" t="s">
        <v>89</v>
      </c>
      <c r="K34" s="3" t="s">
        <v>90</v>
      </c>
      <c r="L34" s="3" t="s">
        <v>90</v>
      </c>
      <c r="M34" s="3" t="s">
        <v>16</v>
      </c>
      <c r="N34" s="3" t="s">
        <v>90</v>
      </c>
      <c r="O34" s="3" t="s">
        <v>90</v>
      </c>
      <c r="P34" s="3" t="s">
        <v>90</v>
      </c>
    </row>
    <row r="35" ht="12.75" customHeight="1">
      <c r="A35" s="2" t="s">
        <v>267</v>
      </c>
      <c r="B35" s="3" t="s">
        <v>16</v>
      </c>
      <c r="C35" s="3" t="s">
        <v>89</v>
      </c>
      <c r="D35" s="3" t="s">
        <v>90</v>
      </c>
      <c r="E35" s="3" t="s">
        <v>16</v>
      </c>
      <c r="F35" s="3" t="s">
        <v>89</v>
      </c>
      <c r="G35" s="3" t="s">
        <v>16</v>
      </c>
      <c r="H35" s="3" t="s">
        <v>16</v>
      </c>
      <c r="I35" s="3" t="s">
        <v>89</v>
      </c>
      <c r="J35" s="3" t="s">
        <v>16</v>
      </c>
      <c r="K35" s="3" t="s">
        <v>90</v>
      </c>
      <c r="L35" s="3" t="s">
        <v>89</v>
      </c>
      <c r="M35" s="3" t="s">
        <v>89</v>
      </c>
      <c r="N35" s="3" t="s">
        <v>90</v>
      </c>
      <c r="O35" s="3" t="s">
        <v>90</v>
      </c>
      <c r="P35" s="3" t="s">
        <v>90</v>
      </c>
    </row>
    <row r="36" ht="12.75" customHeight="1">
      <c r="A36" s="2" t="s">
        <v>268</v>
      </c>
      <c r="B36" s="3" t="s">
        <v>15</v>
      </c>
      <c r="C36" s="3" t="s">
        <v>16</v>
      </c>
      <c r="D36" s="3" t="s">
        <v>90</v>
      </c>
      <c r="E36" s="3" t="s">
        <v>89</v>
      </c>
      <c r="F36" s="3" t="s">
        <v>15</v>
      </c>
      <c r="G36" s="3" t="s">
        <v>15</v>
      </c>
      <c r="H36" s="3" t="s">
        <v>15</v>
      </c>
      <c r="I36" s="3" t="s">
        <v>89</v>
      </c>
      <c r="J36" s="3" t="s">
        <v>89</v>
      </c>
      <c r="K36" s="3" t="s">
        <v>90</v>
      </c>
      <c r="L36" s="3" t="s">
        <v>89</v>
      </c>
      <c r="M36" s="3" t="s">
        <v>15</v>
      </c>
      <c r="N36" s="3" t="s">
        <v>90</v>
      </c>
      <c r="O36" s="3" t="s">
        <v>90</v>
      </c>
      <c r="P36" s="3" t="s">
        <v>90</v>
      </c>
    </row>
    <row r="37" ht="12.75" customHeight="1">
      <c r="A37" s="2" t="s">
        <v>91</v>
      </c>
      <c r="B37" s="3" t="s">
        <v>89</v>
      </c>
      <c r="C37" s="3" t="s">
        <v>16</v>
      </c>
      <c r="D37" s="3" t="s">
        <v>90</v>
      </c>
      <c r="E37" s="3" t="s">
        <v>17</v>
      </c>
      <c r="F37" s="3" t="s">
        <v>17</v>
      </c>
      <c r="G37" s="3" t="s">
        <v>90</v>
      </c>
      <c r="H37" s="3" t="s">
        <v>90</v>
      </c>
      <c r="I37" s="3" t="s">
        <v>16</v>
      </c>
      <c r="J37" s="3" t="s">
        <v>90</v>
      </c>
      <c r="K37" s="3" t="s">
        <v>90</v>
      </c>
      <c r="L37" s="3" t="s">
        <v>90</v>
      </c>
      <c r="M37" s="3" t="s">
        <v>89</v>
      </c>
      <c r="N37" s="3" t="s">
        <v>90</v>
      </c>
      <c r="O37" s="3" t="s">
        <v>90</v>
      </c>
      <c r="P37" s="3" t="s">
        <v>90</v>
      </c>
    </row>
    <row r="38" ht="12.75" customHeight="1">
      <c r="A38" s="2" t="s">
        <v>196</v>
      </c>
      <c r="B38" s="3" t="s">
        <v>89</v>
      </c>
      <c r="C38" s="3" t="s">
        <v>17</v>
      </c>
      <c r="D38" s="3" t="s">
        <v>90</v>
      </c>
      <c r="E38" s="3" t="s">
        <v>16</v>
      </c>
      <c r="F38" s="3" t="s">
        <v>15</v>
      </c>
      <c r="G38" s="3" t="s">
        <v>90</v>
      </c>
      <c r="H38" s="3" t="s">
        <v>90</v>
      </c>
      <c r="I38" s="3" t="s">
        <v>90</v>
      </c>
      <c r="J38" s="3" t="s">
        <v>90</v>
      </c>
      <c r="K38" s="3" t="s">
        <v>90</v>
      </c>
      <c r="L38" s="3" t="s">
        <v>90</v>
      </c>
      <c r="M38" s="3" t="s">
        <v>90</v>
      </c>
      <c r="N38" s="3" t="s">
        <v>90</v>
      </c>
      <c r="O38" s="3" t="s">
        <v>90</v>
      </c>
      <c r="P38" s="3" t="s">
        <v>90</v>
      </c>
    </row>
    <row r="39" ht="12.75" customHeight="1">
      <c r="A39" s="2" t="s">
        <v>269</v>
      </c>
      <c r="B39" s="3" t="s">
        <v>16</v>
      </c>
      <c r="C39" s="3" t="s">
        <v>89</v>
      </c>
      <c r="D39" s="3" t="s">
        <v>90</v>
      </c>
      <c r="E39" s="3" t="s">
        <v>89</v>
      </c>
      <c r="F39" s="3" t="s">
        <v>15</v>
      </c>
      <c r="G39" s="3" t="s">
        <v>89</v>
      </c>
      <c r="H39" s="3" t="s">
        <v>89</v>
      </c>
      <c r="I39" s="3" t="s">
        <v>89</v>
      </c>
      <c r="J39" s="3" t="s">
        <v>89</v>
      </c>
      <c r="K39" s="3" t="s">
        <v>90</v>
      </c>
      <c r="L39" s="3" t="s">
        <v>15</v>
      </c>
      <c r="M39" s="3" t="s">
        <v>90</v>
      </c>
      <c r="N39" s="3" t="s">
        <v>90</v>
      </c>
      <c r="O39" s="3" t="s">
        <v>89</v>
      </c>
      <c r="P39" s="3" t="s">
        <v>90</v>
      </c>
    </row>
    <row r="40" ht="12.75" customHeight="1">
      <c r="A40" s="2" t="s">
        <v>270</v>
      </c>
      <c r="B40" s="3" t="s">
        <v>89</v>
      </c>
      <c r="C40" s="3" t="s">
        <v>89</v>
      </c>
      <c r="D40" s="3" t="s">
        <v>90</v>
      </c>
      <c r="E40" s="3" t="s">
        <v>89</v>
      </c>
      <c r="F40" s="3" t="s">
        <v>15</v>
      </c>
      <c r="G40" s="3" t="s">
        <v>89</v>
      </c>
      <c r="H40" s="3" t="s">
        <v>15</v>
      </c>
      <c r="I40" s="3" t="s">
        <v>16</v>
      </c>
      <c r="J40" s="3" t="s">
        <v>15</v>
      </c>
      <c r="K40" s="3" t="s">
        <v>90</v>
      </c>
      <c r="L40" s="3" t="s">
        <v>89</v>
      </c>
      <c r="M40" s="3" t="s">
        <v>90</v>
      </c>
      <c r="N40" s="3" t="s">
        <v>90</v>
      </c>
      <c r="O40" s="3" t="s">
        <v>90</v>
      </c>
      <c r="P40" s="3" t="s">
        <v>90</v>
      </c>
    </row>
    <row r="41" ht="12.75" customHeight="1">
      <c r="A41" s="2" t="s">
        <v>271</v>
      </c>
      <c r="B41" s="3" t="s">
        <v>89</v>
      </c>
      <c r="C41" s="3" t="s">
        <v>15</v>
      </c>
      <c r="D41" s="3" t="s">
        <v>17</v>
      </c>
      <c r="E41" s="3" t="s">
        <v>16</v>
      </c>
      <c r="F41" s="3" t="s">
        <v>89</v>
      </c>
      <c r="G41" s="3" t="s">
        <v>90</v>
      </c>
      <c r="H41" s="3" t="s">
        <v>89</v>
      </c>
      <c r="I41" s="3" t="s">
        <v>89</v>
      </c>
      <c r="J41" s="3" t="s">
        <v>89</v>
      </c>
      <c r="K41" s="3" t="s">
        <v>90</v>
      </c>
      <c r="L41" s="3" t="s">
        <v>90</v>
      </c>
      <c r="M41" s="3" t="s">
        <v>90</v>
      </c>
      <c r="N41" s="3" t="s">
        <v>90</v>
      </c>
      <c r="O41" s="3" t="s">
        <v>90</v>
      </c>
      <c r="P41" s="3" t="s">
        <v>90</v>
      </c>
    </row>
    <row r="42" ht="12.75" customHeight="1">
      <c r="A42" s="2" t="s">
        <v>272</v>
      </c>
      <c r="B42" s="3" t="s">
        <v>16</v>
      </c>
      <c r="C42" s="3" t="s">
        <v>15</v>
      </c>
      <c r="D42" s="3" t="s">
        <v>90</v>
      </c>
      <c r="E42" s="3" t="s">
        <v>17</v>
      </c>
      <c r="F42" s="3" t="s">
        <v>89</v>
      </c>
      <c r="G42" s="3" t="s">
        <v>90</v>
      </c>
      <c r="H42" s="3" t="s">
        <v>89</v>
      </c>
      <c r="I42" s="3" t="s">
        <v>89</v>
      </c>
      <c r="J42" s="3" t="s">
        <v>89</v>
      </c>
      <c r="K42" s="3" t="s">
        <v>90</v>
      </c>
      <c r="L42" s="3" t="s">
        <v>90</v>
      </c>
      <c r="M42" s="3" t="s">
        <v>90</v>
      </c>
      <c r="N42" s="3" t="s">
        <v>90</v>
      </c>
      <c r="O42" s="3" t="s">
        <v>90</v>
      </c>
      <c r="P42" s="3" t="s">
        <v>90</v>
      </c>
    </row>
    <row r="43" ht="12.75" customHeight="1">
      <c r="A43" s="2" t="s">
        <v>273</v>
      </c>
      <c r="B43" s="3" t="s">
        <v>16</v>
      </c>
      <c r="C43" s="3" t="s">
        <v>17</v>
      </c>
      <c r="D43" s="3" t="s">
        <v>15</v>
      </c>
      <c r="E43" s="3" t="s">
        <v>89</v>
      </c>
      <c r="F43" s="3" t="s">
        <v>17</v>
      </c>
      <c r="G43" s="3" t="s">
        <v>90</v>
      </c>
      <c r="H43" s="3" t="s">
        <v>89</v>
      </c>
      <c r="I43" s="3" t="s">
        <v>89</v>
      </c>
      <c r="J43" s="3" t="s">
        <v>89</v>
      </c>
      <c r="K43" s="3" t="s">
        <v>90</v>
      </c>
      <c r="L43" s="3" t="s">
        <v>90</v>
      </c>
      <c r="M43" s="3" t="s">
        <v>90</v>
      </c>
      <c r="N43" s="3" t="s">
        <v>90</v>
      </c>
      <c r="O43" s="3" t="s">
        <v>90</v>
      </c>
      <c r="P43" s="3" t="s">
        <v>90</v>
      </c>
    </row>
    <row r="44" ht="12.75" customHeight="1">
      <c r="A44" s="2" t="s">
        <v>274</v>
      </c>
      <c r="B44" s="3" t="s">
        <v>16</v>
      </c>
      <c r="C44" s="3" t="s">
        <v>17</v>
      </c>
      <c r="D44" s="3" t="s">
        <v>90</v>
      </c>
      <c r="E44" s="3" t="s">
        <v>89</v>
      </c>
      <c r="F44" s="3" t="s">
        <v>89</v>
      </c>
      <c r="G44" s="3" t="s">
        <v>90</v>
      </c>
      <c r="H44" s="3" t="s">
        <v>89</v>
      </c>
      <c r="I44" s="3" t="s">
        <v>89</v>
      </c>
      <c r="J44" s="3" t="s">
        <v>89</v>
      </c>
      <c r="K44" s="3" t="s">
        <v>90</v>
      </c>
      <c r="L44" s="3" t="s">
        <v>90</v>
      </c>
      <c r="M44" s="3" t="s">
        <v>90</v>
      </c>
      <c r="N44" s="3" t="s">
        <v>90</v>
      </c>
      <c r="O44" s="3" t="s">
        <v>90</v>
      </c>
      <c r="P44" s="3" t="s">
        <v>90</v>
      </c>
    </row>
    <row r="45" ht="12.75" customHeight="1">
      <c r="A45" s="2" t="s">
        <v>275</v>
      </c>
      <c r="B45" s="3" t="s">
        <v>89</v>
      </c>
      <c r="C45" s="3" t="s">
        <v>90</v>
      </c>
      <c r="D45" s="3" t="s">
        <v>90</v>
      </c>
      <c r="E45" s="3" t="s">
        <v>89</v>
      </c>
      <c r="F45" s="3" t="s">
        <v>89</v>
      </c>
      <c r="G45" s="3" t="s">
        <v>90</v>
      </c>
      <c r="H45" s="3" t="s">
        <v>16</v>
      </c>
      <c r="I45" s="3" t="s">
        <v>90</v>
      </c>
      <c r="J45" s="3" t="s">
        <v>89</v>
      </c>
      <c r="K45" s="3" t="s">
        <v>90</v>
      </c>
      <c r="L45" s="3" t="s">
        <v>90</v>
      </c>
      <c r="M45" s="3" t="s">
        <v>16</v>
      </c>
      <c r="N45" s="3" t="s">
        <v>90</v>
      </c>
      <c r="O45" s="3" t="s">
        <v>90</v>
      </c>
      <c r="P45" s="3" t="s">
        <v>90</v>
      </c>
    </row>
    <row r="46" ht="12.75" customHeight="1">
      <c r="A46" s="2" t="s">
        <v>276</v>
      </c>
      <c r="B46" s="3" t="s">
        <v>16</v>
      </c>
      <c r="C46" s="3" t="s">
        <v>15</v>
      </c>
      <c r="D46" s="3" t="s">
        <v>90</v>
      </c>
      <c r="E46" s="3" t="s">
        <v>89</v>
      </c>
      <c r="F46" s="3" t="s">
        <v>15</v>
      </c>
      <c r="G46" s="3" t="s">
        <v>90</v>
      </c>
      <c r="H46" s="3" t="s">
        <v>89</v>
      </c>
      <c r="I46" s="3" t="s">
        <v>89</v>
      </c>
      <c r="J46" s="3" t="s">
        <v>89</v>
      </c>
      <c r="K46" s="3" t="s">
        <v>90</v>
      </c>
      <c r="L46" s="3" t="s">
        <v>90</v>
      </c>
      <c r="M46" s="3" t="s">
        <v>90</v>
      </c>
      <c r="N46" s="3" t="s">
        <v>90</v>
      </c>
      <c r="O46" s="3" t="s">
        <v>90</v>
      </c>
      <c r="P46" s="3" t="s">
        <v>90</v>
      </c>
    </row>
    <row r="47" ht="12.75" customHeight="1">
      <c r="A47" s="2" t="s">
        <v>91</v>
      </c>
      <c r="B47" s="3" t="s">
        <v>15</v>
      </c>
      <c r="C47" s="3" t="s">
        <v>15</v>
      </c>
      <c r="D47" s="3" t="s">
        <v>90</v>
      </c>
      <c r="E47" s="3" t="s">
        <v>16</v>
      </c>
      <c r="F47" s="3" t="s">
        <v>89</v>
      </c>
      <c r="G47" s="3" t="s">
        <v>90</v>
      </c>
      <c r="H47" s="3" t="s">
        <v>89</v>
      </c>
      <c r="I47" s="3" t="s">
        <v>89</v>
      </c>
      <c r="J47" s="3" t="s">
        <v>89</v>
      </c>
      <c r="K47" s="3" t="s">
        <v>90</v>
      </c>
      <c r="L47" s="3" t="s">
        <v>90</v>
      </c>
      <c r="M47" s="3" t="s">
        <v>90</v>
      </c>
      <c r="N47" s="3" t="s">
        <v>90</v>
      </c>
      <c r="O47" s="3" t="s">
        <v>90</v>
      </c>
      <c r="P47" s="3" t="s">
        <v>90</v>
      </c>
    </row>
    <row r="48" ht="12.75" customHeight="1">
      <c r="A48" s="2" t="s">
        <v>196</v>
      </c>
      <c r="B48" s="3" t="s">
        <v>15</v>
      </c>
      <c r="C48" s="3" t="s">
        <v>15</v>
      </c>
      <c r="D48" s="3" t="s">
        <v>90</v>
      </c>
      <c r="E48" s="3" t="s">
        <v>16</v>
      </c>
      <c r="F48" s="3" t="s">
        <v>15</v>
      </c>
      <c r="G48" s="3" t="s">
        <v>90</v>
      </c>
      <c r="H48" s="3" t="s">
        <v>90</v>
      </c>
      <c r="I48" s="3" t="s">
        <v>90</v>
      </c>
      <c r="J48" s="3" t="s">
        <v>90</v>
      </c>
      <c r="K48" s="3" t="s">
        <v>90</v>
      </c>
      <c r="L48" s="3" t="s">
        <v>90</v>
      </c>
      <c r="M48" s="3" t="s">
        <v>90</v>
      </c>
      <c r="N48" s="3" t="s">
        <v>90</v>
      </c>
      <c r="O48" s="3" t="s">
        <v>90</v>
      </c>
      <c r="P48" s="3" t="s">
        <v>90</v>
      </c>
    </row>
    <row r="49" ht="12.75" customHeight="1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N49" s="3"/>
      <c r="O49" s="3"/>
      <c r="P49" s="3"/>
    </row>
    <row r="50" ht="12.75" hidden="1" customHeight="1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N50" s="3"/>
      <c r="O50" s="3"/>
      <c r="P50" s="3"/>
    </row>
    <row r="51" ht="12.75" hidden="1" customHeight="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N51" s="3"/>
      <c r="O51" s="3"/>
      <c r="P51" s="3"/>
    </row>
    <row r="52" ht="12.75" hidden="1" customHeight="1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N52" s="3"/>
      <c r="O52" s="3"/>
      <c r="P52" s="3"/>
    </row>
    <row r="53" ht="12.75" hidden="1" customHeight="1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N53" s="3"/>
      <c r="O53" s="3"/>
      <c r="P53" s="3"/>
    </row>
    <row r="54" ht="12.75" hidden="1" customHeight="1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N54" s="3"/>
      <c r="O54" s="3"/>
      <c r="P54" s="3"/>
    </row>
    <row r="55" ht="12.75" hidden="1" customHeight="1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N55" s="3"/>
      <c r="O55" s="3"/>
      <c r="P55" s="3"/>
    </row>
    <row r="56" ht="12.75" hidden="1" customHeight="1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N56" s="3"/>
      <c r="O56" s="3"/>
      <c r="P56" s="3"/>
    </row>
    <row r="57" ht="12.75" hidden="1" customHeight="1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N57" s="3"/>
      <c r="O57" s="3"/>
      <c r="P57" s="3"/>
    </row>
    <row r="58" ht="12.75" hidden="1" customHeight="1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N58" s="3"/>
      <c r="O58" s="3"/>
      <c r="P58" s="3"/>
    </row>
    <row r="59" ht="12.75" hidden="1" customHeight="1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N59" s="3"/>
      <c r="O59" s="3"/>
      <c r="P59" s="3"/>
    </row>
    <row r="60" ht="12.75" hidden="1" customHeight="1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N60" s="3"/>
      <c r="O60" s="3"/>
      <c r="P60" s="3"/>
    </row>
    <row r="61" ht="12.75" hidden="1" customHeight="1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N61" s="3"/>
      <c r="O61" s="3"/>
      <c r="P61" s="3"/>
    </row>
    <row r="62" ht="12.75" hidden="1" customHeigh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N62" s="3"/>
      <c r="O62" s="3"/>
      <c r="P62" s="3"/>
    </row>
    <row r="63" ht="12.75" hidden="1" customHeight="1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N63" s="3"/>
      <c r="O63" s="3"/>
      <c r="P63" s="3"/>
    </row>
    <row r="64" ht="12.75" hidden="1" customHeight="1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N64" s="3"/>
      <c r="O64" s="3"/>
      <c r="P64" s="3"/>
    </row>
    <row r="65" ht="12.75" hidden="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N65" s="3"/>
      <c r="O65" s="3"/>
      <c r="P65" s="3"/>
    </row>
    <row r="66" ht="12.75" hidden="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N66" s="3"/>
      <c r="O66" s="3"/>
      <c r="P66" s="3"/>
    </row>
    <row r="67" ht="12.75" hidden="1" customHeight="1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N67" s="3"/>
      <c r="O67" s="3"/>
      <c r="P67" s="3"/>
    </row>
    <row r="68" ht="12.75" hidden="1" customHeight="1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N68" s="3"/>
      <c r="O68" s="3"/>
      <c r="P68" s="3"/>
    </row>
    <row r="69" ht="12.75" hidden="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N69" s="3"/>
      <c r="O69" s="3"/>
      <c r="P69" s="3"/>
    </row>
    <row r="70" ht="12.75" hidden="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N70" s="3"/>
      <c r="O70" s="3"/>
      <c r="P70" s="3"/>
    </row>
    <row r="71" ht="12.75" hidden="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N71" s="3"/>
      <c r="O71" s="3"/>
      <c r="P71" s="3"/>
    </row>
    <row r="72" ht="12.75" hidden="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N72" s="3"/>
      <c r="O72" s="3"/>
      <c r="P72" s="3"/>
    </row>
    <row r="73" ht="12.75" hidden="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N73" s="3"/>
      <c r="O73" s="3"/>
      <c r="P73" s="3"/>
    </row>
    <row r="74" ht="15.0" hidden="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N74" s="3"/>
      <c r="O74" s="3"/>
      <c r="P74" s="3"/>
    </row>
    <row r="75" ht="14.25" hidden="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N75" s="3"/>
      <c r="O75" s="3"/>
      <c r="P75" s="3"/>
    </row>
    <row r="76" ht="12.75" hidden="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N76" s="3"/>
      <c r="O76" s="3"/>
      <c r="P76" s="3"/>
    </row>
    <row r="77" ht="12.75" hidden="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N77" s="3"/>
      <c r="O77" s="3"/>
      <c r="P77" s="3"/>
    </row>
    <row r="78" ht="12.75" hidden="1" customHeight="1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N78" s="3"/>
      <c r="O78" s="3"/>
      <c r="P78" s="3"/>
    </row>
    <row r="79" ht="12.75" hidden="1" customHeight="1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N79" s="3"/>
      <c r="O79" s="3"/>
      <c r="P79" s="3"/>
    </row>
    <row r="80" ht="12.75" hidden="1" customHeight="1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N80" s="3"/>
      <c r="O80" s="3"/>
      <c r="P80" s="3"/>
    </row>
    <row r="81" ht="12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N81" s="3"/>
      <c r="O81" s="3"/>
      <c r="P81" s="3"/>
    </row>
    <row r="82" ht="12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N82" s="3"/>
      <c r="O82" s="3"/>
    </row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4.25" hidden="1" customHeight="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N99" s="3"/>
      <c r="O99" s="3"/>
      <c r="P99" s="3"/>
    </row>
    <row r="100" ht="12.75" customHeight="1">
      <c r="A100" s="2" t="s">
        <v>89</v>
      </c>
      <c r="B100" s="3">
        <f t="array" ref="B100">SUM(IF(B2:B99="v",1))</f>
        <v>10</v>
      </c>
      <c r="C100" s="3">
        <f t="array" ref="C100">SUM(IF(C2:C99="v",1))</f>
        <v>13</v>
      </c>
      <c r="D100" s="3">
        <f t="array" ref="D100">SUM(IF(D2:D99="v",1))</f>
        <v>0</v>
      </c>
      <c r="E100" s="3">
        <f t="array" ref="E100">SUM(IF(E2:E99="v",1))</f>
        <v>19</v>
      </c>
      <c r="F100" s="3">
        <f t="array" ref="F100">SUM(IF(F2:F99="v",1))</f>
        <v>13</v>
      </c>
      <c r="G100" s="3">
        <f t="array" ref="G100">SUM(IF(G2:G99="v",1))</f>
        <v>8</v>
      </c>
      <c r="H100" s="3">
        <f t="array" ref="H100">SUM(IF(H2:H99="v",1))</f>
        <v>15</v>
      </c>
      <c r="I100" s="3">
        <f t="array" ref="I100">SUM(IF(I2:I99="v",1))</f>
        <v>15</v>
      </c>
      <c r="J100" s="3">
        <f t="array" ref="J100">SUM(IF(J2:J99="v",1))</f>
        <v>22</v>
      </c>
      <c r="K100" s="3">
        <f t="array" ref="K100">SUM(IF(K2:K99="v",1))</f>
        <v>2</v>
      </c>
      <c r="L100" s="3">
        <f t="array" ref="L100">SUM(IF(L2:L99="v",1))</f>
        <v>5</v>
      </c>
      <c r="M100" s="3">
        <f t="array" ref="M100">SUM(IF(M2:M99="v",1))</f>
        <v>3</v>
      </c>
      <c r="N100" s="3">
        <f t="array" ref="N100">SUM(IF(N2:N99="v",1))</f>
        <v>0</v>
      </c>
      <c r="O100" s="3">
        <f t="array" ref="O100">SUM(IF(O2:O99="v",1))</f>
        <v>4</v>
      </c>
      <c r="P100" s="3">
        <f t="array" ref="P100">SUM(IF(P2:P99="v",1))</f>
        <v>0</v>
      </c>
    </row>
    <row r="101" ht="13.5" customHeight="1">
      <c r="A101" s="2" t="s">
        <v>90</v>
      </c>
      <c r="B101" s="3">
        <f t="array" ref="B101">SUM(IF(B2:B99="x",1))</f>
        <v>8</v>
      </c>
      <c r="C101" s="3">
        <f t="array" ref="C101">SUM(IF(C2:C99="x",1))</f>
        <v>4</v>
      </c>
      <c r="D101" s="3">
        <f t="array" ref="D101">SUM(IF(D2:D99="x",1))</f>
        <v>45</v>
      </c>
      <c r="E101" s="3">
        <f t="array" ref="E101">SUM(IF(E2:E99="x",1))</f>
        <v>3</v>
      </c>
      <c r="F101" s="3">
        <f t="array" ref="F101">SUM(IF(F2:F99="x",1))</f>
        <v>2</v>
      </c>
      <c r="G101" s="3">
        <f t="array" ref="G101">SUM(IF(G2:G99="x",1))</f>
        <v>35</v>
      </c>
      <c r="H101" s="3">
        <f t="array" ref="H101">SUM(IF(H2:H99="x",1))</f>
        <v>26</v>
      </c>
      <c r="I101" s="3">
        <f t="array" ref="I101">SUM(IF(I2:I99="x",1))</f>
        <v>25</v>
      </c>
      <c r="J101" s="3">
        <f t="array" ref="J101">SUM(IF(J2:J99="x",1))</f>
        <v>18</v>
      </c>
      <c r="K101" s="3">
        <f t="array" ref="K101">SUM(IF(K2:K99="x",1))</f>
        <v>36</v>
      </c>
      <c r="L101" s="3">
        <f t="array" ref="L101">SUM(IF(L2:L99="x",1))</f>
        <v>39</v>
      </c>
      <c r="M101" s="3">
        <f t="array" ref="M101">SUM(IF(M2:M99="x",1))</f>
        <v>37</v>
      </c>
      <c r="N101" s="3">
        <f t="array" ref="N101">SUM(IF(N2:N99="x",1))</f>
        <v>47</v>
      </c>
      <c r="O101" s="3">
        <f t="array" ref="O101">SUM(IF(O2:O99="x",1))</f>
        <v>42</v>
      </c>
      <c r="P101" s="3">
        <f t="array" ref="P101">SUM(IF(P2:P99="x",1))</f>
        <v>47</v>
      </c>
    </row>
    <row r="102" ht="15.0" customHeight="1">
      <c r="A102" s="2" t="s">
        <v>128</v>
      </c>
      <c r="B102" s="3">
        <f t="shared" ref="B102:P102" si="1">B100+B103+B104+B105</f>
        <v>39</v>
      </c>
      <c r="C102" s="3">
        <f t="shared" si="1"/>
        <v>43</v>
      </c>
      <c r="D102" s="3">
        <f t="shared" si="1"/>
        <v>2</v>
      </c>
      <c r="E102" s="3">
        <f t="shared" si="1"/>
        <v>44</v>
      </c>
      <c r="F102" s="3">
        <f t="shared" si="1"/>
        <v>45</v>
      </c>
      <c r="G102" s="3">
        <f t="shared" si="1"/>
        <v>12</v>
      </c>
      <c r="H102" s="3">
        <f t="shared" si="1"/>
        <v>21</v>
      </c>
      <c r="I102" s="3">
        <f t="shared" si="1"/>
        <v>22</v>
      </c>
      <c r="J102" s="3">
        <f t="shared" si="1"/>
        <v>29</v>
      </c>
      <c r="K102" s="3">
        <f t="shared" si="1"/>
        <v>11</v>
      </c>
      <c r="L102" s="3">
        <f t="shared" si="1"/>
        <v>8</v>
      </c>
      <c r="M102" s="3">
        <f t="shared" si="1"/>
        <v>10</v>
      </c>
      <c r="N102" s="3">
        <f t="shared" si="1"/>
        <v>0</v>
      </c>
      <c r="O102" s="3">
        <f t="shared" si="1"/>
        <v>5</v>
      </c>
      <c r="P102" s="3">
        <f t="shared" si="1"/>
        <v>0</v>
      </c>
    </row>
    <row r="103" ht="12.75" customHeight="1">
      <c r="A103" s="2" t="s">
        <v>17</v>
      </c>
      <c r="B103" s="3">
        <f t="array" ref="B103">SUM(IF(B$2:B$99=$A103,1))</f>
        <v>5</v>
      </c>
      <c r="C103" s="3">
        <f t="array" ref="C103">SUM(IF(C$2:C$99=$A103,1))</f>
        <v>7</v>
      </c>
      <c r="D103" s="3">
        <f t="array" ref="D103">SUM(IF(D$2:D$99=$A103,1))</f>
        <v>1</v>
      </c>
      <c r="E103" s="3">
        <f t="array" ref="E103">SUM(IF(E$2:E$99=$A103,1))</f>
        <v>8</v>
      </c>
      <c r="F103" s="3">
        <f t="array" ref="F103">SUM(IF(F$2:F$99=$A103,1))</f>
        <v>6</v>
      </c>
      <c r="G103" s="3">
        <f t="array" ref="G103">SUM(IF(G$2:G$99=$A103,1))</f>
        <v>1</v>
      </c>
      <c r="H103" s="3">
        <f t="array" ref="H103">SUM(IF(H$2:H$99=$A103,1))</f>
        <v>1</v>
      </c>
      <c r="I103" s="3">
        <f t="array" ref="I103">SUM(IF(I$2:I$99=$A103,1))</f>
        <v>2</v>
      </c>
      <c r="J103" s="3">
        <f t="array" ref="J103">SUM(IF(J$2:J$99=$A103,1))</f>
        <v>2</v>
      </c>
      <c r="K103" s="3">
        <f t="array" ref="K103">SUM(IF(K$2:K$99=$A103,1))</f>
        <v>0</v>
      </c>
      <c r="L103" s="3">
        <f t="array" ref="L103">SUM(IF(L$2:L$99=$A103,1))</f>
        <v>1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</row>
    <row r="104" ht="12.75" customHeight="1">
      <c r="A104" s="2" t="s">
        <v>15</v>
      </c>
      <c r="B104" s="3">
        <f t="array" ref="B104">SUM(IF(B$2:B$99=$A104,1))</f>
        <v>10</v>
      </c>
      <c r="C104" s="3">
        <f t="array" ref="C104">SUM(IF(C$2:C$99=$A104,1))</f>
        <v>15</v>
      </c>
      <c r="D104" s="3">
        <f t="array" ref="D104">SUM(IF(D$2:D$99=$A104,1))</f>
        <v>1</v>
      </c>
      <c r="E104" s="3">
        <f t="array" ref="E104">SUM(IF(E$2:E$99=$A104,1))</f>
        <v>7</v>
      </c>
      <c r="F104" s="3">
        <f t="array" ref="F104">SUM(IF(F$2:F$99=$A104,1))</f>
        <v>13</v>
      </c>
      <c r="G104" s="3">
        <f t="array" ref="G104">SUM(IF(G$2:G$99=$A104,1))</f>
        <v>1</v>
      </c>
      <c r="H104" s="3">
        <f t="array" ref="H104">SUM(IF(H$2:H$99=$A104,1))</f>
        <v>3</v>
      </c>
      <c r="I104" s="3">
        <f t="array" ref="I104">SUM(IF(I$2:I$99=$A104,1))</f>
        <v>1</v>
      </c>
      <c r="J104" s="3">
        <f t="array" ref="J104">SUM(IF(J$2:J$99=$A104,1))</f>
        <v>2</v>
      </c>
      <c r="K104" s="3">
        <f t="array" ref="K104">SUM(IF(K$2:K$99=$A104,1))</f>
        <v>3</v>
      </c>
      <c r="L104" s="3">
        <f t="array" ref="L104">SUM(IF(L$2:L$99=$A104,1))</f>
        <v>1</v>
      </c>
      <c r="M104" s="3">
        <f t="array" ref="M104">SUM(IF(M$2:M$99=$A104,1))</f>
        <v>2</v>
      </c>
      <c r="N104" s="3">
        <f t="array" ref="N104">SUM(IF(N$2:N$99=$A104,1))</f>
        <v>0</v>
      </c>
      <c r="O104" s="3">
        <f t="array" ref="O104">SUM(IF(O$2:O$99=$A104,1))</f>
        <v>0</v>
      </c>
      <c r="P104" s="3">
        <f t="array" ref="P104">SUM(IF(P$2:P$99=$A104,1))</f>
        <v>0</v>
      </c>
    </row>
    <row r="105" ht="12.75" customHeight="1">
      <c r="A105" s="2" t="s">
        <v>16</v>
      </c>
      <c r="B105" s="3">
        <f t="array" ref="B105">SUM(IF(B$2:B$99=$A105,1))</f>
        <v>14</v>
      </c>
      <c r="C105" s="3">
        <f t="array" ref="C105">SUM(IF(C$2:C$99=$A105,1))</f>
        <v>8</v>
      </c>
      <c r="D105" s="3">
        <f t="array" ref="D105">SUM(IF(D$2:D$99=$A105,1))</f>
        <v>0</v>
      </c>
      <c r="E105" s="3">
        <f t="array" ref="E105">SUM(IF(E$2:E$99=$A105,1))</f>
        <v>10</v>
      </c>
      <c r="F105" s="3">
        <f t="array" ref="F105">SUM(IF(F$2:F$99=$A105,1))</f>
        <v>13</v>
      </c>
      <c r="G105" s="3">
        <f t="array" ref="G105">SUM(IF(G$2:G$99=$A105,1))</f>
        <v>2</v>
      </c>
      <c r="H105" s="3">
        <f t="array" ref="H105">SUM(IF(H$2:H$99=$A105,1))</f>
        <v>2</v>
      </c>
      <c r="I105" s="3">
        <f t="array" ref="I105">SUM(IF(I$2:I$99=$A105,1))</f>
        <v>4</v>
      </c>
      <c r="J105" s="3">
        <f t="array" ref="J105">SUM(IF(J$2:J$99=$A105,1))</f>
        <v>3</v>
      </c>
      <c r="K105" s="3">
        <f t="array" ref="K105">SUM(IF(K$2:K$99=$A105,1))</f>
        <v>6</v>
      </c>
      <c r="L105" s="3">
        <f t="array" ref="L105">SUM(IF(L$2:L$99=$A105,1))</f>
        <v>1</v>
      </c>
      <c r="M105" s="3">
        <f t="array" ref="M105">SUM(IF(M$2:M$99=$A105,1))</f>
        <v>5</v>
      </c>
      <c r="N105" s="3">
        <f t="array" ref="N105">SUM(IF(N$2:N$99=$A105,1))</f>
        <v>0</v>
      </c>
      <c r="O105" s="3">
        <f t="array" ref="O105">SUM(IF(O$2:O$99=$A105,1))</f>
        <v>1</v>
      </c>
      <c r="P105" s="3">
        <f t="array" ref="P105">SUM(IF(P$2:P$99=$A105,1))</f>
        <v>0</v>
      </c>
    </row>
    <row r="106" ht="12.75" customHeight="1">
      <c r="A106" s="4" t="s">
        <v>129</v>
      </c>
      <c r="B106" s="4">
        <f t="shared" ref="B106:P106" si="2">B103+B104*2+B105*3</f>
        <v>67</v>
      </c>
      <c r="C106" s="4">
        <f t="shared" si="2"/>
        <v>61</v>
      </c>
      <c r="D106" s="4">
        <f t="shared" si="2"/>
        <v>3</v>
      </c>
      <c r="E106" s="4">
        <f t="shared" si="2"/>
        <v>52</v>
      </c>
      <c r="F106" s="4">
        <f t="shared" si="2"/>
        <v>71</v>
      </c>
      <c r="G106" s="4">
        <f t="shared" si="2"/>
        <v>9</v>
      </c>
      <c r="H106" s="4">
        <f t="shared" si="2"/>
        <v>13</v>
      </c>
      <c r="I106" s="4">
        <f t="shared" si="2"/>
        <v>16</v>
      </c>
      <c r="J106" s="4">
        <f t="shared" si="2"/>
        <v>15</v>
      </c>
      <c r="K106" s="4">
        <f t="shared" si="2"/>
        <v>24</v>
      </c>
      <c r="L106" s="4">
        <f t="shared" si="2"/>
        <v>6</v>
      </c>
      <c r="M106" s="4">
        <f t="shared" si="2"/>
        <v>19</v>
      </c>
      <c r="N106" s="4">
        <f t="shared" si="2"/>
        <v>0</v>
      </c>
      <c r="O106" s="4">
        <f t="shared" si="2"/>
        <v>3</v>
      </c>
      <c r="P106" s="4">
        <f t="shared" si="2"/>
        <v>0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2" t="s">
        <v>130</v>
      </c>
      <c r="B107" s="11">
        <f t="shared" ref="B107:P107" si="3">IF(B100+B103+B104+B105&lt;&gt;0,B106/(B100+B103+B104+B105),0)</f>
        <v>1.717948718</v>
      </c>
      <c r="C107" s="11">
        <f t="shared" si="3"/>
        <v>1.418604651</v>
      </c>
      <c r="D107" s="11">
        <f t="shared" si="3"/>
        <v>1.5</v>
      </c>
      <c r="E107" s="11">
        <f t="shared" si="3"/>
        <v>1.181818182</v>
      </c>
      <c r="F107" s="11">
        <f t="shared" si="3"/>
        <v>1.577777778</v>
      </c>
      <c r="G107" s="11">
        <f t="shared" si="3"/>
        <v>0.75</v>
      </c>
      <c r="H107" s="11">
        <f t="shared" si="3"/>
        <v>0.619047619</v>
      </c>
      <c r="I107" s="11">
        <f t="shared" si="3"/>
        <v>0.7272727273</v>
      </c>
      <c r="J107" s="11">
        <f t="shared" si="3"/>
        <v>0.5172413793</v>
      </c>
      <c r="K107" s="11">
        <f t="shared" si="3"/>
        <v>2.181818182</v>
      </c>
      <c r="L107" s="11">
        <f t="shared" si="3"/>
        <v>0.75</v>
      </c>
      <c r="M107" s="11">
        <f t="shared" si="3"/>
        <v>1.9</v>
      </c>
      <c r="N107" s="11">
        <f t="shared" si="3"/>
        <v>0</v>
      </c>
      <c r="O107" s="11">
        <f t="shared" si="3"/>
        <v>0.6</v>
      </c>
      <c r="P107" s="11">
        <f t="shared" si="3"/>
        <v>0</v>
      </c>
    </row>
    <row r="108" ht="13.5" customHeight="1">
      <c r="A108" s="2" t="s">
        <v>131</v>
      </c>
      <c r="B108" s="3">
        <f t="shared" ref="B108:P108" si="4">B102+B101</f>
        <v>47</v>
      </c>
      <c r="C108" s="3">
        <f t="shared" si="4"/>
        <v>47</v>
      </c>
      <c r="D108" s="3">
        <f t="shared" si="4"/>
        <v>47</v>
      </c>
      <c r="E108" s="3">
        <f t="shared" si="4"/>
        <v>47</v>
      </c>
      <c r="F108" s="3">
        <f t="shared" si="4"/>
        <v>47</v>
      </c>
      <c r="G108" s="3">
        <f t="shared" si="4"/>
        <v>47</v>
      </c>
      <c r="H108" s="3">
        <f t="shared" si="4"/>
        <v>47</v>
      </c>
      <c r="I108" s="3">
        <f t="shared" si="4"/>
        <v>47</v>
      </c>
      <c r="J108" s="3">
        <f t="shared" si="4"/>
        <v>47</v>
      </c>
      <c r="K108" s="3">
        <f t="shared" si="4"/>
        <v>47</v>
      </c>
      <c r="L108" s="3">
        <f t="shared" si="4"/>
        <v>47</v>
      </c>
      <c r="M108" s="3">
        <f t="shared" si="4"/>
        <v>47</v>
      </c>
      <c r="N108" s="3">
        <f t="shared" si="4"/>
        <v>47</v>
      </c>
      <c r="O108" s="3">
        <f t="shared" si="4"/>
        <v>47</v>
      </c>
      <c r="P108" s="3">
        <f t="shared" si="4"/>
        <v>47</v>
      </c>
    </row>
    <row r="109" ht="12.75" customHeight="1"/>
    <row r="110" ht="12.75" customHeight="1">
      <c r="A110" s="2" t="s">
        <v>132</v>
      </c>
      <c r="B110" s="3">
        <f>B106+G106+I106+J106</f>
        <v>107</v>
      </c>
      <c r="D110" s="2" t="s">
        <v>133</v>
      </c>
      <c r="E110" s="12">
        <f>B106+G106</f>
        <v>76</v>
      </c>
      <c r="G110" s="2" t="s">
        <v>134</v>
      </c>
      <c r="I110" s="2" t="s">
        <v>135</v>
      </c>
      <c r="J110" s="12">
        <f>B102+G102+I102+J102</f>
        <v>102</v>
      </c>
      <c r="K110" s="2" t="s">
        <v>136</v>
      </c>
      <c r="L110" s="3">
        <f>I106+J106</f>
        <v>31</v>
      </c>
      <c r="N110" s="11">
        <f t="shared" ref="N110:N112" si="5">B110/J110</f>
        <v>1.049019608</v>
      </c>
    </row>
    <row r="111" ht="12.75" customHeight="1">
      <c r="A111" s="2" t="s">
        <v>137</v>
      </c>
      <c r="B111" s="3">
        <f>C106+E106+L106+H106+M102</f>
        <v>142</v>
      </c>
      <c r="D111" s="2" t="s">
        <v>138</v>
      </c>
      <c r="E111" s="3">
        <f>L106+M106</f>
        <v>25</v>
      </c>
      <c r="G111" s="2" t="s">
        <v>139</v>
      </c>
      <c r="I111" s="2" t="s">
        <v>135</v>
      </c>
      <c r="J111" s="12">
        <f>C102+E102+L102+H102+P102</f>
        <v>116</v>
      </c>
      <c r="K111" s="2" t="s">
        <v>136</v>
      </c>
      <c r="L111" s="12">
        <f>C106+E106+H106</f>
        <v>126</v>
      </c>
      <c r="N111" s="11">
        <f t="shared" si="5"/>
        <v>1.224137931</v>
      </c>
    </row>
    <row r="112" ht="12.75" customHeight="1">
      <c r="A112" s="2" t="s">
        <v>140</v>
      </c>
      <c r="B112" s="3">
        <f>D106+F106+K106+N106</f>
        <v>98</v>
      </c>
      <c r="D112" s="2" t="s">
        <v>141</v>
      </c>
      <c r="E112" s="3">
        <f>K106+N106</f>
        <v>24</v>
      </c>
      <c r="G112" s="2" t="s">
        <v>142</v>
      </c>
      <c r="I112" s="2" t="s">
        <v>135</v>
      </c>
      <c r="J112" s="12">
        <f>D102+F102+K102+N102</f>
        <v>58</v>
      </c>
      <c r="K112" s="2" t="s">
        <v>136</v>
      </c>
      <c r="L112" s="3">
        <f>D106+F106</f>
        <v>74</v>
      </c>
      <c r="N112" s="11">
        <f t="shared" si="5"/>
        <v>1.689655172</v>
      </c>
    </row>
    <row r="113" ht="12.75" customHeight="1"/>
    <row r="114" ht="12.75" customHeight="1">
      <c r="A114" s="2" t="s">
        <v>143</v>
      </c>
      <c r="B114" s="3">
        <f>C106+D106+E106+F106+H106+I106+B115</f>
        <v>325</v>
      </c>
    </row>
    <row r="115" ht="12.75" customHeight="1">
      <c r="A115" s="2" t="s">
        <v>144</v>
      </c>
      <c r="B115" s="3">
        <f>B106+G106+L106+O106+K106+N106+P106</f>
        <v>109</v>
      </c>
    </row>
    <row r="116" ht="12.75" customHeight="1"/>
    <row r="117" ht="12.75" customHeight="1">
      <c r="A117" s="5" t="s">
        <v>145</v>
      </c>
      <c r="B117" s="5" t="s">
        <v>4</v>
      </c>
    </row>
    <row r="118" ht="12.75" customHeight="1"/>
    <row r="119" ht="12.75" customHeight="1">
      <c r="A119" s="16" t="s">
        <v>85</v>
      </c>
      <c r="B119" s="16">
        <f>SUM(IF($B1=B$117,1))+'2012'!B119</f>
        <v>2</v>
      </c>
      <c r="C119" s="16">
        <f>SUM(IF($C1=B$117,1))+'2012'!C119</f>
        <v>2</v>
      </c>
      <c r="D119" s="16">
        <f>SUM(IF($D1=B$117,1))+'2012'!D119</f>
        <v>0</v>
      </c>
      <c r="E119" s="16">
        <f>SUM(IF($E1=B$117,1))+'2012'!E119</f>
        <v>1</v>
      </c>
      <c r="F119" s="16">
        <f>SUM(IF($F1=B$117,1))+'2012'!F119</f>
        <v>1</v>
      </c>
      <c r="G119" s="16">
        <f>SUM(IF($G1=B$117,1))+'2012'!G119</f>
        <v>0</v>
      </c>
      <c r="H119" s="16">
        <f>SUM(IF($H1=B$117,1))+'2012'!H119</f>
        <v>0</v>
      </c>
      <c r="I119" s="16">
        <f>SUM(IF($I1=B$117,1))+'2012'!I119</f>
        <v>0</v>
      </c>
      <c r="J119" s="16">
        <f>SUM(IF($J1=B$117,1))+'2012'!J119</f>
        <v>0</v>
      </c>
      <c r="K119" s="16">
        <f>SUM(IF($K1=B$117,1))+'2012'!K119</f>
        <v>0</v>
      </c>
      <c r="L119" s="16">
        <f>SUM(IF($L1=B$117,1))+'2012'!L119</f>
        <v>0</v>
      </c>
      <c r="M119" s="16"/>
      <c r="N119" s="16">
        <f>SUM(IF($N1=B$117,1))+'2012'!N119</f>
        <v>0</v>
      </c>
      <c r="O119" s="16">
        <f>SUM(IF($O1=B$117,1))+'2012'!O119</f>
        <v>0</v>
      </c>
      <c r="P119" s="16">
        <f>SUM(IF($P1=B$117,1))+'2012'!P119</f>
        <v>0</v>
      </c>
    </row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48"/>
  <conditionalFormatting sqref="B2:O82 B99:P107 N110:N112">
    <cfRule type="cellIs" dxfId="0" priority="1" stopIfTrue="1" operator="equal">
      <formula>"PLATA"</formula>
    </cfRule>
  </conditionalFormatting>
  <conditionalFormatting sqref="B2:O82 B99:P107 N110:N112">
    <cfRule type="cellIs" dxfId="1" priority="2" stopIfTrue="1" operator="equal">
      <formula>"ORO"</formula>
    </cfRule>
  </conditionalFormatting>
  <conditionalFormatting sqref="B2:O82 B99:P107 N110:N112">
    <cfRule type="cellIs" dxfId="2" priority="3" stopIfTrue="1" operator="equal">
      <formula>"BRONCE"</formula>
    </cfRule>
  </conditionalFormatting>
  <conditionalFormatting sqref="M3:N48 M100:N107 P2:P81">
    <cfRule type="cellIs" dxfId="0" priority="4" stopIfTrue="1" operator="equal">
      <formula>"PLATA"</formula>
    </cfRule>
  </conditionalFormatting>
  <conditionalFormatting sqref="M3:N48 M100:N107 P2:P81">
    <cfRule type="cellIs" dxfId="1" priority="5" stopIfTrue="1" operator="equal">
      <formula>"ORO"</formula>
    </cfRule>
  </conditionalFormatting>
  <conditionalFormatting sqref="M3:N48 M100:N107 P2:P81">
    <cfRule type="cellIs" dxfId="2" priority="6" stopIfTrue="1" operator="equal">
      <formula>"BRONCE"</formula>
    </cfRule>
  </conditionalFormatting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11" width="10.75"/>
    <col customWidth="1" min="12" max="12" width="10.0"/>
    <col customWidth="1" min="13" max="13" width="9.88"/>
    <col customWidth="1" min="14" max="14" width="9.25"/>
    <col customWidth="1" min="15" max="15" width="9.0"/>
    <col customWidth="1" min="16" max="16" width="7.75"/>
    <col customWidth="1" min="17" max="26" width="10.75"/>
  </cols>
  <sheetData>
    <row r="1" ht="12.75" customHeight="1">
      <c r="A1" s="17">
        <v>2014.0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150</v>
      </c>
      <c r="P1" s="2" t="s">
        <v>151</v>
      </c>
    </row>
    <row r="2" ht="12.75" customHeight="1">
      <c r="A2" s="2" t="s">
        <v>18</v>
      </c>
      <c r="B2" s="2" t="s">
        <v>15</v>
      </c>
      <c r="C2" s="2" t="s">
        <v>16</v>
      </c>
      <c r="D2" s="2" t="s">
        <v>90</v>
      </c>
      <c r="E2" s="2" t="s">
        <v>16</v>
      </c>
      <c r="F2" s="2" t="s">
        <v>16</v>
      </c>
      <c r="G2" s="2" t="s">
        <v>15</v>
      </c>
      <c r="H2" s="2" t="s">
        <v>90</v>
      </c>
      <c r="I2" s="2" t="s">
        <v>90</v>
      </c>
      <c r="J2" s="2" t="s">
        <v>90</v>
      </c>
      <c r="K2" s="2" t="s">
        <v>90</v>
      </c>
      <c r="L2" s="2" t="s">
        <v>90</v>
      </c>
      <c r="M2" s="2" t="s">
        <v>90</v>
      </c>
      <c r="N2" s="2" t="s">
        <v>90</v>
      </c>
      <c r="O2" s="2" t="s">
        <v>90</v>
      </c>
      <c r="P2" s="2" t="s">
        <v>90</v>
      </c>
    </row>
    <row r="3" ht="12.75" customHeight="1">
      <c r="A3" s="2" t="s">
        <v>29</v>
      </c>
      <c r="B3" s="2" t="s">
        <v>16</v>
      </c>
      <c r="C3" s="2" t="s">
        <v>90</v>
      </c>
      <c r="D3" s="2" t="s">
        <v>15</v>
      </c>
      <c r="E3" s="2" t="s">
        <v>90</v>
      </c>
      <c r="F3" s="2" t="s">
        <v>16</v>
      </c>
      <c r="G3" s="2" t="s">
        <v>15</v>
      </c>
      <c r="H3" s="2" t="s">
        <v>90</v>
      </c>
      <c r="I3" s="2" t="s">
        <v>16</v>
      </c>
      <c r="J3" s="2" t="s">
        <v>90</v>
      </c>
      <c r="K3" s="2" t="s">
        <v>15</v>
      </c>
      <c r="L3" s="2" t="s">
        <v>90</v>
      </c>
      <c r="M3" s="2" t="s">
        <v>90</v>
      </c>
      <c r="N3" s="2" t="s">
        <v>90</v>
      </c>
      <c r="O3" s="2" t="s">
        <v>90</v>
      </c>
      <c r="P3" s="2" t="s">
        <v>90</v>
      </c>
    </row>
    <row r="4" ht="12.75" customHeight="1">
      <c r="A4" s="2" t="s">
        <v>23</v>
      </c>
      <c r="B4" s="2" t="s">
        <v>90</v>
      </c>
      <c r="C4" s="2" t="s">
        <v>90</v>
      </c>
      <c r="D4" s="2" t="s">
        <v>90</v>
      </c>
      <c r="E4" s="2" t="s">
        <v>90</v>
      </c>
      <c r="F4" s="2" t="s">
        <v>16</v>
      </c>
      <c r="G4" s="2" t="s">
        <v>90</v>
      </c>
      <c r="H4" s="2" t="s">
        <v>90</v>
      </c>
      <c r="I4" s="2" t="s">
        <v>90</v>
      </c>
      <c r="J4" s="2" t="s">
        <v>90</v>
      </c>
      <c r="K4" s="2" t="s">
        <v>15</v>
      </c>
      <c r="L4" s="2" t="s">
        <v>90</v>
      </c>
      <c r="M4" s="2" t="s">
        <v>90</v>
      </c>
      <c r="N4" s="2" t="s">
        <v>90</v>
      </c>
      <c r="O4" s="2" t="s">
        <v>90</v>
      </c>
      <c r="P4" s="2" t="s">
        <v>90</v>
      </c>
    </row>
    <row r="5" ht="12.75" customHeight="1">
      <c r="A5" s="2" t="s">
        <v>277</v>
      </c>
      <c r="B5" s="2" t="s">
        <v>15</v>
      </c>
      <c r="C5" s="2" t="s">
        <v>90</v>
      </c>
      <c r="D5" s="2" t="s">
        <v>90</v>
      </c>
      <c r="E5" s="2" t="s">
        <v>90</v>
      </c>
      <c r="F5" s="2" t="s">
        <v>16</v>
      </c>
      <c r="G5" s="2" t="s">
        <v>90</v>
      </c>
      <c r="H5" s="2" t="s">
        <v>90</v>
      </c>
      <c r="I5" s="2" t="s">
        <v>90</v>
      </c>
      <c r="J5" s="2" t="s">
        <v>15</v>
      </c>
      <c r="K5" s="2" t="s">
        <v>16</v>
      </c>
      <c r="L5" s="2" t="s">
        <v>90</v>
      </c>
      <c r="M5" s="2" t="s">
        <v>90</v>
      </c>
      <c r="N5" s="2" t="s">
        <v>90</v>
      </c>
      <c r="O5" s="2" t="s">
        <v>90</v>
      </c>
      <c r="P5" s="2" t="s">
        <v>90</v>
      </c>
    </row>
    <row r="6" ht="12.75" customHeight="1">
      <c r="A6" s="2" t="s">
        <v>200</v>
      </c>
      <c r="B6" s="2" t="s">
        <v>16</v>
      </c>
      <c r="C6" s="2" t="s">
        <v>90</v>
      </c>
      <c r="D6" s="2" t="s">
        <v>17</v>
      </c>
      <c r="E6" s="2" t="s">
        <v>90</v>
      </c>
      <c r="F6" s="2" t="s">
        <v>15</v>
      </c>
      <c r="G6" s="2" t="s">
        <v>90</v>
      </c>
      <c r="H6" s="2" t="s">
        <v>90</v>
      </c>
      <c r="I6" s="2" t="s">
        <v>89</v>
      </c>
      <c r="J6" s="2" t="s">
        <v>89</v>
      </c>
      <c r="K6" s="2" t="s">
        <v>90</v>
      </c>
      <c r="L6" s="2" t="s">
        <v>90</v>
      </c>
      <c r="M6" s="2" t="s">
        <v>90</v>
      </c>
      <c r="N6" s="2" t="s">
        <v>90</v>
      </c>
      <c r="O6" s="2" t="s">
        <v>90</v>
      </c>
      <c r="P6" s="2" t="s">
        <v>90</v>
      </c>
    </row>
    <row r="7" ht="12.75" customHeight="1">
      <c r="A7" s="2" t="s">
        <v>278</v>
      </c>
      <c r="B7" s="2" t="s">
        <v>16</v>
      </c>
      <c r="C7" s="2" t="s">
        <v>90</v>
      </c>
      <c r="D7" s="2" t="s">
        <v>89</v>
      </c>
      <c r="E7" s="2" t="s">
        <v>90</v>
      </c>
      <c r="F7" s="2" t="s">
        <v>15</v>
      </c>
      <c r="G7" s="2" t="s">
        <v>90</v>
      </c>
      <c r="H7" s="2" t="s">
        <v>90</v>
      </c>
      <c r="I7" s="2" t="s">
        <v>89</v>
      </c>
      <c r="J7" s="2" t="s">
        <v>17</v>
      </c>
      <c r="K7" s="2" t="s">
        <v>90</v>
      </c>
      <c r="L7" s="2" t="s">
        <v>90</v>
      </c>
      <c r="M7" s="2" t="s">
        <v>90</v>
      </c>
      <c r="N7" s="2" t="s">
        <v>90</v>
      </c>
      <c r="O7" s="2" t="s">
        <v>89</v>
      </c>
      <c r="P7" s="2" t="s">
        <v>90</v>
      </c>
    </row>
    <row r="8" ht="12.75" customHeight="1">
      <c r="A8" s="2" t="s">
        <v>279</v>
      </c>
      <c r="B8" s="2" t="s">
        <v>89</v>
      </c>
      <c r="C8" s="2" t="s">
        <v>90</v>
      </c>
      <c r="D8" s="2" t="s">
        <v>16</v>
      </c>
      <c r="E8" s="2" t="s">
        <v>90</v>
      </c>
      <c r="F8" s="2" t="s">
        <v>15</v>
      </c>
      <c r="G8" s="2" t="s">
        <v>90</v>
      </c>
      <c r="H8" s="2" t="s">
        <v>90</v>
      </c>
      <c r="I8" s="2" t="s">
        <v>89</v>
      </c>
      <c r="J8" s="2" t="s">
        <v>17</v>
      </c>
      <c r="K8" s="2" t="s">
        <v>90</v>
      </c>
      <c r="L8" s="2" t="s">
        <v>90</v>
      </c>
      <c r="M8" s="2" t="s">
        <v>90</v>
      </c>
      <c r="N8" s="2" t="s">
        <v>90</v>
      </c>
      <c r="O8" s="2" t="s">
        <v>89</v>
      </c>
      <c r="P8" s="2" t="s">
        <v>90</v>
      </c>
    </row>
    <row r="9" ht="12.75" customHeight="1">
      <c r="A9" s="2" t="s">
        <v>280</v>
      </c>
      <c r="B9" s="2" t="s">
        <v>89</v>
      </c>
      <c r="C9" s="2" t="s">
        <v>90</v>
      </c>
      <c r="D9" s="2" t="s">
        <v>15</v>
      </c>
      <c r="E9" s="2" t="s">
        <v>90</v>
      </c>
      <c r="F9" s="2" t="s">
        <v>15</v>
      </c>
      <c r="G9" s="2" t="s">
        <v>90</v>
      </c>
      <c r="H9" s="2" t="s">
        <v>90</v>
      </c>
      <c r="I9" s="2" t="s">
        <v>15</v>
      </c>
      <c r="J9" s="2" t="s">
        <v>16</v>
      </c>
      <c r="K9" s="2" t="s">
        <v>90</v>
      </c>
      <c r="L9" s="2" t="s">
        <v>90</v>
      </c>
      <c r="M9" s="2" t="s">
        <v>90</v>
      </c>
      <c r="N9" s="2" t="s">
        <v>90</v>
      </c>
      <c r="O9" s="2" t="s">
        <v>89</v>
      </c>
      <c r="P9" s="2" t="s">
        <v>90</v>
      </c>
    </row>
    <row r="10" ht="12.75" customHeight="1">
      <c r="A10" s="2" t="s">
        <v>281</v>
      </c>
      <c r="B10" s="2" t="s">
        <v>89</v>
      </c>
      <c r="C10" s="2" t="s">
        <v>17</v>
      </c>
      <c r="D10" s="2" t="s">
        <v>15</v>
      </c>
      <c r="E10" s="2" t="s">
        <v>89</v>
      </c>
      <c r="F10" s="2" t="s">
        <v>16</v>
      </c>
      <c r="G10" s="2" t="s">
        <v>90</v>
      </c>
      <c r="H10" s="2" t="s">
        <v>90</v>
      </c>
      <c r="I10" s="2" t="s">
        <v>90</v>
      </c>
      <c r="J10" s="2" t="s">
        <v>90</v>
      </c>
      <c r="K10" s="2" t="s">
        <v>90</v>
      </c>
      <c r="L10" s="2" t="s">
        <v>90</v>
      </c>
      <c r="M10" s="2" t="s">
        <v>90</v>
      </c>
      <c r="N10" s="2" t="s">
        <v>90</v>
      </c>
      <c r="O10" s="2" t="s">
        <v>90</v>
      </c>
      <c r="P10" s="2" t="s">
        <v>90</v>
      </c>
    </row>
    <row r="11" ht="12.75" customHeight="1">
      <c r="A11" s="2" t="s">
        <v>282</v>
      </c>
      <c r="B11" s="2" t="s">
        <v>16</v>
      </c>
      <c r="C11" s="2" t="s">
        <v>15</v>
      </c>
      <c r="D11" s="2" t="s">
        <v>89</v>
      </c>
      <c r="E11" s="2" t="s">
        <v>17</v>
      </c>
      <c r="F11" s="2" t="s">
        <v>89</v>
      </c>
      <c r="G11" s="2" t="s">
        <v>16</v>
      </c>
      <c r="H11" s="2" t="s">
        <v>89</v>
      </c>
      <c r="I11" s="2" t="s">
        <v>89</v>
      </c>
      <c r="J11" s="2" t="s">
        <v>16</v>
      </c>
      <c r="K11" s="2" t="s">
        <v>90</v>
      </c>
      <c r="L11" s="2" t="s">
        <v>89</v>
      </c>
      <c r="M11" s="2" t="s">
        <v>90</v>
      </c>
      <c r="N11" s="2" t="s">
        <v>90</v>
      </c>
      <c r="O11" s="2" t="s">
        <v>90</v>
      </c>
      <c r="P11" s="2" t="s">
        <v>90</v>
      </c>
    </row>
    <row r="12" ht="12.75" customHeight="1">
      <c r="A12" s="2" t="s">
        <v>283</v>
      </c>
      <c r="B12" s="2" t="s">
        <v>17</v>
      </c>
      <c r="C12" s="2" t="s">
        <v>89</v>
      </c>
      <c r="D12" s="2" t="s">
        <v>89</v>
      </c>
      <c r="E12" s="2" t="s">
        <v>15</v>
      </c>
      <c r="F12" s="2" t="s">
        <v>89</v>
      </c>
      <c r="G12" s="2" t="s">
        <v>90</v>
      </c>
      <c r="H12" s="2" t="s">
        <v>89</v>
      </c>
      <c r="I12" s="2" t="s">
        <v>89</v>
      </c>
      <c r="J12" s="2" t="s">
        <v>17</v>
      </c>
      <c r="K12" s="2" t="s">
        <v>90</v>
      </c>
      <c r="L12" s="2" t="s">
        <v>16</v>
      </c>
      <c r="M12" s="2" t="s">
        <v>89</v>
      </c>
      <c r="N12" s="2" t="s">
        <v>90</v>
      </c>
      <c r="O12" s="2" t="s">
        <v>90</v>
      </c>
      <c r="P12" s="2" t="s">
        <v>90</v>
      </c>
    </row>
    <row r="13" ht="12.75" customHeight="1">
      <c r="A13" s="2" t="s">
        <v>284</v>
      </c>
      <c r="B13" s="2" t="s">
        <v>16</v>
      </c>
      <c r="C13" s="2" t="s">
        <v>89</v>
      </c>
      <c r="D13" s="2" t="s">
        <v>89</v>
      </c>
      <c r="E13" s="2" t="s">
        <v>89</v>
      </c>
      <c r="F13" s="2" t="s">
        <v>17</v>
      </c>
      <c r="G13" s="2" t="s">
        <v>89</v>
      </c>
      <c r="H13" s="2" t="s">
        <v>89</v>
      </c>
      <c r="I13" s="2" t="s">
        <v>89</v>
      </c>
      <c r="J13" s="2" t="s">
        <v>89</v>
      </c>
      <c r="K13" s="2" t="s">
        <v>90</v>
      </c>
      <c r="L13" s="2" t="s">
        <v>89</v>
      </c>
      <c r="M13" s="2" t="s">
        <v>15</v>
      </c>
      <c r="N13" s="2" t="s">
        <v>90</v>
      </c>
      <c r="O13" s="2" t="s">
        <v>90</v>
      </c>
      <c r="P13" s="2" t="s">
        <v>90</v>
      </c>
    </row>
    <row r="14" ht="12.75" customHeight="1">
      <c r="A14" s="2" t="s">
        <v>31</v>
      </c>
      <c r="B14" s="2" t="s">
        <v>17</v>
      </c>
      <c r="C14" s="2" t="s">
        <v>16</v>
      </c>
      <c r="D14" s="2" t="s">
        <v>89</v>
      </c>
      <c r="E14" s="2" t="s">
        <v>89</v>
      </c>
      <c r="F14" s="2" t="s">
        <v>89</v>
      </c>
      <c r="G14" s="2" t="s">
        <v>90</v>
      </c>
      <c r="H14" s="2" t="s">
        <v>89</v>
      </c>
      <c r="I14" s="2" t="s">
        <v>89</v>
      </c>
      <c r="J14" s="2" t="s">
        <v>89</v>
      </c>
      <c r="K14" s="2" t="s">
        <v>90</v>
      </c>
      <c r="L14" s="2" t="s">
        <v>90</v>
      </c>
      <c r="M14" s="2" t="s">
        <v>15</v>
      </c>
      <c r="N14" s="2" t="s">
        <v>90</v>
      </c>
      <c r="O14" s="2" t="s">
        <v>90</v>
      </c>
      <c r="P14" s="2" t="s">
        <v>90</v>
      </c>
    </row>
    <row r="15" ht="12.75" customHeight="1">
      <c r="A15" s="2" t="s">
        <v>285</v>
      </c>
      <c r="B15" s="2" t="s">
        <v>89</v>
      </c>
      <c r="C15" s="2" t="s">
        <v>17</v>
      </c>
      <c r="D15" s="2" t="s">
        <v>89</v>
      </c>
      <c r="E15" s="2" t="s">
        <v>89</v>
      </c>
      <c r="F15" s="2" t="s">
        <v>89</v>
      </c>
      <c r="G15" s="2" t="s">
        <v>89</v>
      </c>
      <c r="H15" s="2" t="s">
        <v>89</v>
      </c>
      <c r="I15" s="2" t="s">
        <v>16</v>
      </c>
      <c r="J15" s="2" t="s">
        <v>89</v>
      </c>
      <c r="K15" s="2" t="s">
        <v>90</v>
      </c>
      <c r="L15" s="2" t="s">
        <v>89</v>
      </c>
      <c r="M15" s="2" t="s">
        <v>15</v>
      </c>
      <c r="N15" s="2" t="s">
        <v>90</v>
      </c>
      <c r="O15" s="2" t="s">
        <v>90</v>
      </c>
      <c r="P15" s="2" t="s">
        <v>90</v>
      </c>
    </row>
    <row r="16" ht="12.75" customHeight="1">
      <c r="A16" s="2" t="s">
        <v>286</v>
      </c>
      <c r="B16" s="2" t="s">
        <v>90</v>
      </c>
      <c r="C16" s="2" t="s">
        <v>15</v>
      </c>
      <c r="D16" s="2" t="s">
        <v>17</v>
      </c>
      <c r="E16" s="2" t="s">
        <v>16</v>
      </c>
      <c r="F16" s="2" t="s">
        <v>17</v>
      </c>
      <c r="G16" s="2" t="s">
        <v>90</v>
      </c>
      <c r="H16" s="2" t="s">
        <v>90</v>
      </c>
      <c r="I16" s="2" t="s">
        <v>90</v>
      </c>
      <c r="J16" s="2" t="s">
        <v>90</v>
      </c>
      <c r="K16" s="2" t="s">
        <v>90</v>
      </c>
      <c r="L16" s="2" t="s">
        <v>90</v>
      </c>
      <c r="M16" s="2" t="s">
        <v>90</v>
      </c>
      <c r="N16" s="2" t="s">
        <v>90</v>
      </c>
      <c r="O16" s="2" t="s">
        <v>90</v>
      </c>
      <c r="P16" s="2" t="s">
        <v>90</v>
      </c>
    </row>
    <row r="17" ht="12.75" customHeight="1">
      <c r="A17" s="2" t="s">
        <v>287</v>
      </c>
      <c r="B17" s="2" t="s">
        <v>89</v>
      </c>
      <c r="C17" s="2" t="s">
        <v>89</v>
      </c>
      <c r="D17" s="2" t="s">
        <v>16</v>
      </c>
      <c r="E17" s="2" t="s">
        <v>89</v>
      </c>
      <c r="F17" s="2" t="s">
        <v>89</v>
      </c>
      <c r="G17" s="2" t="s">
        <v>89</v>
      </c>
      <c r="H17" s="2" t="s">
        <v>16</v>
      </c>
      <c r="I17" s="2" t="s">
        <v>89</v>
      </c>
      <c r="J17" s="2" t="s">
        <v>89</v>
      </c>
      <c r="K17" s="2" t="s">
        <v>90</v>
      </c>
      <c r="L17" s="2" t="s">
        <v>89</v>
      </c>
      <c r="M17" s="2" t="s">
        <v>89</v>
      </c>
      <c r="N17" s="2" t="s">
        <v>90</v>
      </c>
      <c r="O17" s="2" t="s">
        <v>89</v>
      </c>
      <c r="P17" s="2" t="s">
        <v>89</v>
      </c>
    </row>
    <row r="18" ht="12.75" customHeight="1">
      <c r="A18" s="2" t="s">
        <v>31</v>
      </c>
      <c r="B18" s="2" t="s">
        <v>16</v>
      </c>
      <c r="C18" s="2" t="s">
        <v>89</v>
      </c>
      <c r="D18" s="2" t="s">
        <v>89</v>
      </c>
      <c r="E18" s="2" t="s">
        <v>17</v>
      </c>
      <c r="F18" s="2" t="s">
        <v>89</v>
      </c>
      <c r="G18" s="2" t="s">
        <v>90</v>
      </c>
      <c r="H18" s="2" t="s">
        <v>89</v>
      </c>
      <c r="I18" s="2" t="s">
        <v>89</v>
      </c>
      <c r="J18" s="2" t="s">
        <v>89</v>
      </c>
      <c r="K18" s="2" t="s">
        <v>90</v>
      </c>
      <c r="L18" s="2" t="s">
        <v>90</v>
      </c>
      <c r="M18" s="2" t="s">
        <v>15</v>
      </c>
      <c r="N18" s="2" t="s">
        <v>90</v>
      </c>
      <c r="O18" s="2" t="s">
        <v>90</v>
      </c>
      <c r="P18" s="2" t="s">
        <v>90</v>
      </c>
    </row>
    <row r="19" ht="12.75" customHeight="1">
      <c r="A19" s="2" t="s">
        <v>18</v>
      </c>
      <c r="B19" s="2" t="s">
        <v>15</v>
      </c>
      <c r="C19" s="2" t="s">
        <v>16</v>
      </c>
      <c r="D19" s="2" t="s">
        <v>90</v>
      </c>
      <c r="E19" s="2" t="s">
        <v>16</v>
      </c>
      <c r="F19" s="2" t="s">
        <v>15</v>
      </c>
      <c r="G19" s="2" t="s">
        <v>90</v>
      </c>
      <c r="H19" s="2" t="s">
        <v>90</v>
      </c>
      <c r="I19" s="2" t="s">
        <v>16</v>
      </c>
      <c r="J19" s="2" t="s">
        <v>90</v>
      </c>
      <c r="K19" s="2" t="s">
        <v>90</v>
      </c>
      <c r="L19" s="2" t="s">
        <v>90</v>
      </c>
      <c r="M19" s="2" t="s">
        <v>90</v>
      </c>
      <c r="N19" s="2" t="s">
        <v>90</v>
      </c>
      <c r="O19" s="2" t="s">
        <v>90</v>
      </c>
      <c r="P19" s="2" t="s">
        <v>90</v>
      </c>
    </row>
    <row r="20" ht="12.75" customHeight="1">
      <c r="A20" s="2">
        <v>-1.0</v>
      </c>
      <c r="B20" s="2" t="s">
        <v>16</v>
      </c>
      <c r="C20" s="2" t="s">
        <v>89</v>
      </c>
      <c r="D20" s="2" t="s">
        <v>17</v>
      </c>
      <c r="E20" s="2" t="s">
        <v>15</v>
      </c>
      <c r="F20" s="2" t="s">
        <v>89</v>
      </c>
      <c r="G20" s="2" t="s">
        <v>90</v>
      </c>
      <c r="H20" s="2" t="s">
        <v>90</v>
      </c>
      <c r="I20" s="2" t="s">
        <v>90</v>
      </c>
      <c r="J20" s="2" t="s">
        <v>90</v>
      </c>
      <c r="K20" s="2" t="s">
        <v>90</v>
      </c>
      <c r="L20" s="2" t="s">
        <v>90</v>
      </c>
      <c r="M20" s="2" t="s">
        <v>90</v>
      </c>
      <c r="N20" s="2" t="s">
        <v>90</v>
      </c>
      <c r="O20" s="2" t="s">
        <v>90</v>
      </c>
      <c r="P20" s="2" t="s">
        <v>90</v>
      </c>
    </row>
    <row r="21" ht="12.75" customHeight="1">
      <c r="A21" s="2" t="s">
        <v>288</v>
      </c>
      <c r="B21" s="2" t="s">
        <v>16</v>
      </c>
      <c r="C21" s="2" t="s">
        <v>89</v>
      </c>
      <c r="D21" s="2" t="s">
        <v>15</v>
      </c>
      <c r="E21" s="2" t="s">
        <v>17</v>
      </c>
      <c r="F21" s="2" t="s">
        <v>89</v>
      </c>
      <c r="G21" s="2" t="s">
        <v>90</v>
      </c>
      <c r="H21" s="2" t="s">
        <v>90</v>
      </c>
      <c r="I21" s="2" t="s">
        <v>90</v>
      </c>
      <c r="J21" s="2" t="s">
        <v>89</v>
      </c>
      <c r="K21" s="2" t="s">
        <v>90</v>
      </c>
      <c r="L21" s="2" t="s">
        <v>90</v>
      </c>
      <c r="M21" s="2" t="s">
        <v>90</v>
      </c>
      <c r="N21" s="2" t="s">
        <v>90</v>
      </c>
      <c r="O21" s="2" t="s">
        <v>90</v>
      </c>
      <c r="P21" s="2" t="s">
        <v>90</v>
      </c>
    </row>
    <row r="22" ht="12.75" customHeight="1">
      <c r="A22" s="2" t="s">
        <v>289</v>
      </c>
      <c r="B22" s="2" t="s">
        <v>16</v>
      </c>
      <c r="C22" s="2" t="s">
        <v>89</v>
      </c>
      <c r="D22" s="2" t="s">
        <v>17</v>
      </c>
      <c r="E22" s="2" t="s">
        <v>15</v>
      </c>
      <c r="F22" s="2" t="s">
        <v>89</v>
      </c>
      <c r="G22" s="2" t="s">
        <v>16</v>
      </c>
      <c r="H22" s="2" t="s">
        <v>17</v>
      </c>
      <c r="I22" s="2" t="s">
        <v>15</v>
      </c>
      <c r="J22" s="2" t="s">
        <v>16</v>
      </c>
      <c r="K22" s="2" t="s">
        <v>90</v>
      </c>
      <c r="L22" s="2" t="s">
        <v>90</v>
      </c>
      <c r="M22" s="2" t="s">
        <v>90</v>
      </c>
      <c r="N22" s="2" t="s">
        <v>90</v>
      </c>
      <c r="O22" s="2" t="s">
        <v>90</v>
      </c>
      <c r="P22" s="2" t="s">
        <v>90</v>
      </c>
    </row>
    <row r="23" ht="12.75" customHeight="1">
      <c r="A23" s="2" t="s">
        <v>290</v>
      </c>
      <c r="B23" s="2" t="s">
        <v>15</v>
      </c>
      <c r="C23" s="2" t="s">
        <v>15</v>
      </c>
      <c r="D23" s="2" t="s">
        <v>90</v>
      </c>
      <c r="E23" s="2" t="s">
        <v>17</v>
      </c>
      <c r="F23" s="2" t="s">
        <v>16</v>
      </c>
      <c r="G23" s="2" t="s">
        <v>90</v>
      </c>
      <c r="H23" s="2" t="s">
        <v>89</v>
      </c>
      <c r="I23" s="2" t="s">
        <v>90</v>
      </c>
      <c r="J23" s="2" t="s">
        <v>90</v>
      </c>
      <c r="K23" s="2" t="s">
        <v>90</v>
      </c>
      <c r="L23" s="2" t="s">
        <v>90</v>
      </c>
      <c r="M23" s="2" t="s">
        <v>90</v>
      </c>
      <c r="N23" s="2" t="s">
        <v>90</v>
      </c>
      <c r="O23" s="2" t="s">
        <v>90</v>
      </c>
      <c r="P23" s="2" t="s">
        <v>90</v>
      </c>
    </row>
    <row r="24" ht="12.75" customHeight="1">
      <c r="A24" s="2" t="s">
        <v>291</v>
      </c>
      <c r="B24" s="2" t="s">
        <v>16</v>
      </c>
      <c r="C24" s="2" t="s">
        <v>15</v>
      </c>
      <c r="D24" s="2" t="s">
        <v>16</v>
      </c>
      <c r="E24" s="2" t="s">
        <v>15</v>
      </c>
      <c r="F24" s="2" t="s">
        <v>16</v>
      </c>
      <c r="G24" s="2" t="s">
        <v>90</v>
      </c>
      <c r="H24" s="2" t="s">
        <v>90</v>
      </c>
      <c r="I24" s="2" t="s">
        <v>90</v>
      </c>
      <c r="J24" s="2" t="s">
        <v>15</v>
      </c>
      <c r="K24" s="2" t="s">
        <v>90</v>
      </c>
      <c r="L24" s="2" t="s">
        <v>90</v>
      </c>
      <c r="M24" s="2" t="s">
        <v>90</v>
      </c>
      <c r="N24" s="2" t="s">
        <v>90</v>
      </c>
      <c r="O24" s="2" t="s">
        <v>90</v>
      </c>
      <c r="P24" s="2" t="s">
        <v>90</v>
      </c>
    </row>
    <row r="25" ht="12.75" customHeight="1">
      <c r="A25" s="2" t="s">
        <v>292</v>
      </c>
      <c r="B25" s="2" t="s">
        <v>16</v>
      </c>
      <c r="C25" s="2" t="s">
        <v>15</v>
      </c>
      <c r="D25" s="2" t="s">
        <v>16</v>
      </c>
      <c r="E25" s="2" t="s">
        <v>16</v>
      </c>
      <c r="F25" s="2" t="s">
        <v>16</v>
      </c>
      <c r="G25" s="2" t="s">
        <v>15</v>
      </c>
      <c r="H25" s="2" t="s">
        <v>15</v>
      </c>
      <c r="I25" s="2" t="s">
        <v>16</v>
      </c>
      <c r="J25" s="2" t="s">
        <v>15</v>
      </c>
      <c r="K25" s="2" t="s">
        <v>90</v>
      </c>
      <c r="L25" s="2" t="s">
        <v>90</v>
      </c>
      <c r="M25" s="2" t="s">
        <v>90</v>
      </c>
      <c r="N25" s="2" t="s">
        <v>90</v>
      </c>
      <c r="O25" s="2" t="s">
        <v>90</v>
      </c>
      <c r="P25" s="2" t="s">
        <v>90</v>
      </c>
    </row>
    <row r="26" ht="12.75" customHeight="1">
      <c r="A26" s="2" t="s">
        <v>293</v>
      </c>
      <c r="B26" s="2" t="s">
        <v>90</v>
      </c>
      <c r="C26" s="2" t="s">
        <v>15</v>
      </c>
      <c r="D26" s="2" t="s">
        <v>16</v>
      </c>
      <c r="E26" s="2" t="s">
        <v>89</v>
      </c>
      <c r="F26" s="2" t="s">
        <v>89</v>
      </c>
      <c r="G26" s="2" t="s">
        <v>90</v>
      </c>
      <c r="H26" s="2" t="s">
        <v>89</v>
      </c>
      <c r="I26" s="2" t="s">
        <v>15</v>
      </c>
      <c r="J26" s="2" t="s">
        <v>90</v>
      </c>
      <c r="K26" s="2" t="s">
        <v>90</v>
      </c>
      <c r="L26" s="2" t="s">
        <v>90</v>
      </c>
      <c r="M26" s="2" t="s">
        <v>90</v>
      </c>
      <c r="N26" s="2" t="s">
        <v>90</v>
      </c>
      <c r="O26" s="2" t="s">
        <v>90</v>
      </c>
      <c r="P26" s="2" t="s">
        <v>90</v>
      </c>
    </row>
    <row r="27" ht="12.75" customHeight="1">
      <c r="A27" s="2" t="s">
        <v>294</v>
      </c>
      <c r="B27" s="2" t="s">
        <v>15</v>
      </c>
      <c r="C27" s="2" t="s">
        <v>16</v>
      </c>
      <c r="D27" s="2" t="s">
        <v>15</v>
      </c>
      <c r="E27" s="2" t="s">
        <v>16</v>
      </c>
      <c r="F27" s="2" t="s">
        <v>15</v>
      </c>
      <c r="G27" s="2" t="s">
        <v>90</v>
      </c>
      <c r="H27" s="2" t="s">
        <v>15</v>
      </c>
      <c r="I27" s="2" t="s">
        <v>16</v>
      </c>
      <c r="J27" s="2" t="s">
        <v>90</v>
      </c>
      <c r="K27" s="2" t="s">
        <v>90</v>
      </c>
      <c r="L27" s="2" t="s">
        <v>90</v>
      </c>
      <c r="M27" s="2" t="s">
        <v>90</v>
      </c>
      <c r="N27" s="2" t="s">
        <v>90</v>
      </c>
      <c r="O27" s="2" t="s">
        <v>90</v>
      </c>
      <c r="P27" s="2" t="s">
        <v>90</v>
      </c>
    </row>
    <row r="28" ht="12.75" customHeight="1">
      <c r="A28" s="2" t="s">
        <v>295</v>
      </c>
      <c r="B28" s="2" t="s">
        <v>90</v>
      </c>
      <c r="C28" s="2" t="s">
        <v>89</v>
      </c>
      <c r="D28" s="2" t="s">
        <v>90</v>
      </c>
      <c r="E28" s="2" t="s">
        <v>15</v>
      </c>
      <c r="F28" s="2" t="s">
        <v>16</v>
      </c>
      <c r="G28" s="2" t="s">
        <v>90</v>
      </c>
      <c r="H28" s="2" t="s">
        <v>17</v>
      </c>
      <c r="I28" s="2" t="s">
        <v>89</v>
      </c>
      <c r="J28" s="2" t="s">
        <v>89</v>
      </c>
      <c r="K28" s="2" t="s">
        <v>90</v>
      </c>
      <c r="L28" s="2" t="s">
        <v>90</v>
      </c>
      <c r="M28" s="2" t="s">
        <v>90</v>
      </c>
      <c r="N28" s="2" t="s">
        <v>90</v>
      </c>
      <c r="O28" s="2" t="s">
        <v>90</v>
      </c>
      <c r="P28" s="2" t="s">
        <v>90</v>
      </c>
    </row>
    <row r="29" ht="12.75" customHeight="1">
      <c r="A29" s="2" t="s">
        <v>296</v>
      </c>
      <c r="B29" s="2" t="s">
        <v>15</v>
      </c>
      <c r="C29" s="2" t="s">
        <v>17</v>
      </c>
      <c r="D29" s="2" t="s">
        <v>16</v>
      </c>
      <c r="E29" s="2" t="s">
        <v>15</v>
      </c>
      <c r="F29" s="2" t="s">
        <v>17</v>
      </c>
      <c r="G29" s="2" t="s">
        <v>15</v>
      </c>
      <c r="H29" s="2" t="s">
        <v>16</v>
      </c>
      <c r="I29" s="2" t="s">
        <v>17</v>
      </c>
      <c r="J29" s="2" t="s">
        <v>15</v>
      </c>
      <c r="K29" s="2" t="s">
        <v>90</v>
      </c>
      <c r="L29" s="2" t="s">
        <v>17</v>
      </c>
      <c r="M29" s="2" t="s">
        <v>17</v>
      </c>
      <c r="N29" s="2" t="s">
        <v>90</v>
      </c>
      <c r="O29" s="2" t="s">
        <v>90</v>
      </c>
      <c r="P29" s="2" t="s">
        <v>90</v>
      </c>
    </row>
    <row r="30" ht="12.75" customHeight="1">
      <c r="A30" s="2" t="s">
        <v>297</v>
      </c>
      <c r="B30" s="2" t="s">
        <v>89</v>
      </c>
      <c r="C30" s="2" t="s">
        <v>89</v>
      </c>
      <c r="D30" s="2" t="s">
        <v>16</v>
      </c>
      <c r="E30" s="2" t="s">
        <v>89</v>
      </c>
      <c r="F30" s="2" t="s">
        <v>89</v>
      </c>
      <c r="G30" s="2" t="s">
        <v>90</v>
      </c>
      <c r="H30" s="2" t="s">
        <v>16</v>
      </c>
      <c r="I30" s="2" t="s">
        <v>89</v>
      </c>
      <c r="J30" s="2" t="s">
        <v>89</v>
      </c>
      <c r="K30" s="2" t="s">
        <v>90</v>
      </c>
      <c r="L30" s="2" t="s">
        <v>90</v>
      </c>
      <c r="M30" s="2" t="s">
        <v>90</v>
      </c>
      <c r="N30" s="2" t="s">
        <v>90</v>
      </c>
      <c r="O30" s="2" t="s">
        <v>90</v>
      </c>
      <c r="P30" s="2" t="s">
        <v>90</v>
      </c>
    </row>
    <row r="31" ht="12.75" customHeight="1">
      <c r="A31" s="2" t="s">
        <v>298</v>
      </c>
      <c r="B31" s="2" t="s">
        <v>89</v>
      </c>
      <c r="C31" s="2" t="s">
        <v>15</v>
      </c>
      <c r="D31" s="2" t="s">
        <v>15</v>
      </c>
      <c r="E31" s="2" t="s">
        <v>89</v>
      </c>
      <c r="F31" s="2" t="s">
        <v>89</v>
      </c>
      <c r="G31" s="2" t="s">
        <v>90</v>
      </c>
      <c r="H31" s="2" t="s">
        <v>16</v>
      </c>
      <c r="I31" s="2" t="s">
        <v>90</v>
      </c>
      <c r="J31" s="2" t="s">
        <v>89</v>
      </c>
      <c r="K31" s="2" t="s">
        <v>90</v>
      </c>
      <c r="L31" s="2" t="s">
        <v>90</v>
      </c>
      <c r="M31" s="2" t="s">
        <v>90</v>
      </c>
      <c r="N31" s="2" t="s">
        <v>90</v>
      </c>
      <c r="O31" s="2" t="s">
        <v>90</v>
      </c>
      <c r="P31" s="2" t="s">
        <v>90</v>
      </c>
    </row>
    <row r="32" ht="12.75" customHeight="1">
      <c r="A32" s="2" t="s">
        <v>282</v>
      </c>
      <c r="B32" s="2" t="s">
        <v>89</v>
      </c>
      <c r="C32" s="2" t="s">
        <v>89</v>
      </c>
      <c r="D32" s="2" t="s">
        <v>15</v>
      </c>
      <c r="E32" s="2" t="s">
        <v>16</v>
      </c>
      <c r="F32" s="2" t="s">
        <v>89</v>
      </c>
      <c r="G32" s="2" t="s">
        <v>89</v>
      </c>
      <c r="H32" s="2" t="s">
        <v>15</v>
      </c>
      <c r="I32" s="2" t="s">
        <v>89</v>
      </c>
      <c r="J32" s="2" t="s">
        <v>90</v>
      </c>
      <c r="K32" s="2" t="s">
        <v>90</v>
      </c>
      <c r="L32" s="2" t="s">
        <v>15</v>
      </c>
      <c r="M32" s="2" t="s">
        <v>90</v>
      </c>
      <c r="N32" s="2" t="s">
        <v>90</v>
      </c>
      <c r="O32" s="2" t="s">
        <v>90</v>
      </c>
      <c r="P32" s="2" t="s">
        <v>90</v>
      </c>
    </row>
    <row r="33" ht="12.75" customHeight="1">
      <c r="A33" s="2" t="s">
        <v>23</v>
      </c>
      <c r="B33" s="2" t="s">
        <v>16</v>
      </c>
      <c r="C33" s="2" t="s">
        <v>89</v>
      </c>
      <c r="D33" s="2" t="s">
        <v>90</v>
      </c>
      <c r="E33" s="2" t="s">
        <v>89</v>
      </c>
      <c r="F33" s="2" t="s">
        <v>89</v>
      </c>
      <c r="G33" s="2" t="s">
        <v>17</v>
      </c>
      <c r="H33" s="2" t="s">
        <v>90</v>
      </c>
      <c r="I33" s="2" t="s">
        <v>89</v>
      </c>
      <c r="J33" s="2" t="s">
        <v>89</v>
      </c>
      <c r="K33" s="2" t="s">
        <v>90</v>
      </c>
      <c r="L33" s="2" t="s">
        <v>90</v>
      </c>
      <c r="M33" s="2" t="s">
        <v>15</v>
      </c>
      <c r="N33" s="2" t="s">
        <v>90</v>
      </c>
      <c r="O33" s="2" t="s">
        <v>90</v>
      </c>
      <c r="P33" s="2" t="s">
        <v>90</v>
      </c>
    </row>
    <row r="34" ht="12.75" customHeight="1">
      <c r="A34" s="2" t="s">
        <v>23</v>
      </c>
      <c r="B34" s="2" t="s">
        <v>16</v>
      </c>
      <c r="C34" s="2" t="s">
        <v>89</v>
      </c>
      <c r="D34" s="2" t="s">
        <v>90</v>
      </c>
      <c r="E34" s="2" t="s">
        <v>17</v>
      </c>
      <c r="F34" s="2" t="s">
        <v>89</v>
      </c>
      <c r="G34" s="2" t="s">
        <v>15</v>
      </c>
      <c r="H34" s="2" t="s">
        <v>90</v>
      </c>
      <c r="I34" s="2" t="s">
        <v>89</v>
      </c>
      <c r="J34" s="2" t="s">
        <v>90</v>
      </c>
      <c r="K34" s="2" t="s">
        <v>90</v>
      </c>
      <c r="L34" s="2" t="s">
        <v>90</v>
      </c>
      <c r="M34" s="2" t="s">
        <v>89</v>
      </c>
      <c r="N34" s="2" t="s">
        <v>90</v>
      </c>
      <c r="O34" s="2" t="s">
        <v>90</v>
      </c>
      <c r="P34" s="2" t="s">
        <v>90</v>
      </c>
    </row>
    <row r="35" ht="12.75" customHeight="1">
      <c r="A35" s="2" t="s">
        <v>299</v>
      </c>
      <c r="B35" s="2" t="s">
        <v>90</v>
      </c>
      <c r="C35" s="2" t="s">
        <v>17</v>
      </c>
      <c r="D35" s="2" t="s">
        <v>90</v>
      </c>
      <c r="E35" s="2" t="s">
        <v>16</v>
      </c>
      <c r="F35" s="2" t="s">
        <v>90</v>
      </c>
      <c r="G35" s="2" t="s">
        <v>90</v>
      </c>
      <c r="H35" s="2" t="s">
        <v>17</v>
      </c>
      <c r="I35" s="2" t="s">
        <v>16</v>
      </c>
      <c r="J35" s="2" t="s">
        <v>90</v>
      </c>
      <c r="K35" s="2" t="s">
        <v>90</v>
      </c>
      <c r="L35" s="2" t="s">
        <v>90</v>
      </c>
      <c r="M35" s="2" t="s">
        <v>90</v>
      </c>
      <c r="N35" s="2" t="s">
        <v>90</v>
      </c>
      <c r="O35" s="2" t="s">
        <v>90</v>
      </c>
      <c r="P35" s="2" t="s">
        <v>90</v>
      </c>
    </row>
    <row r="36" ht="12.75" customHeight="1">
      <c r="A36" s="2" t="s">
        <v>300</v>
      </c>
      <c r="B36" s="2" t="s">
        <v>16</v>
      </c>
      <c r="C36" s="2" t="s">
        <v>90</v>
      </c>
      <c r="D36" s="2" t="s">
        <v>89</v>
      </c>
      <c r="E36" s="2" t="s">
        <v>15</v>
      </c>
      <c r="F36" s="2" t="s">
        <v>89</v>
      </c>
      <c r="G36" s="2" t="s">
        <v>90</v>
      </c>
      <c r="H36" s="2" t="s">
        <v>89</v>
      </c>
      <c r="I36" s="2" t="s">
        <v>89</v>
      </c>
      <c r="J36" s="2" t="s">
        <v>89</v>
      </c>
      <c r="K36" s="2" t="s">
        <v>90</v>
      </c>
      <c r="L36" s="2" t="s">
        <v>89</v>
      </c>
      <c r="M36" s="2" t="s">
        <v>17</v>
      </c>
      <c r="N36" s="2" t="s">
        <v>90</v>
      </c>
      <c r="O36" s="2" t="s">
        <v>90</v>
      </c>
      <c r="P36" s="2" t="s">
        <v>90</v>
      </c>
    </row>
    <row r="37" ht="12.75" customHeight="1">
      <c r="A37" s="2" t="s">
        <v>301</v>
      </c>
      <c r="B37" s="2" t="s">
        <v>16</v>
      </c>
      <c r="C37" s="2" t="s">
        <v>90</v>
      </c>
      <c r="D37" s="2" t="s">
        <v>15</v>
      </c>
      <c r="E37" s="2" t="s">
        <v>17</v>
      </c>
      <c r="F37" s="2" t="s">
        <v>89</v>
      </c>
      <c r="G37" s="2" t="s">
        <v>90</v>
      </c>
      <c r="H37" s="2" t="s">
        <v>89</v>
      </c>
      <c r="I37" s="2" t="s">
        <v>89</v>
      </c>
      <c r="J37" s="2" t="s">
        <v>89</v>
      </c>
      <c r="K37" s="2" t="s">
        <v>90</v>
      </c>
      <c r="L37" s="2" t="s">
        <v>90</v>
      </c>
      <c r="M37" s="2" t="s">
        <v>90</v>
      </c>
      <c r="N37" s="2" t="s">
        <v>90</v>
      </c>
      <c r="O37" s="2" t="s">
        <v>90</v>
      </c>
      <c r="P37" s="2" t="s">
        <v>90</v>
      </c>
    </row>
    <row r="38" ht="12.75" customHeight="1">
      <c r="A38" s="2" t="s">
        <v>302</v>
      </c>
      <c r="B38" s="2" t="s">
        <v>16</v>
      </c>
      <c r="C38" s="2" t="s">
        <v>90</v>
      </c>
      <c r="D38" s="2" t="s">
        <v>16</v>
      </c>
      <c r="E38" s="2" t="s">
        <v>16</v>
      </c>
      <c r="F38" s="2" t="s">
        <v>89</v>
      </c>
      <c r="G38" s="2" t="s">
        <v>90</v>
      </c>
      <c r="H38" s="2" t="s">
        <v>89</v>
      </c>
      <c r="I38" s="2" t="s">
        <v>89</v>
      </c>
      <c r="J38" s="2" t="s">
        <v>89</v>
      </c>
      <c r="K38" s="2" t="s">
        <v>90</v>
      </c>
      <c r="L38" s="2" t="s">
        <v>90</v>
      </c>
      <c r="M38" s="2" t="s">
        <v>90</v>
      </c>
      <c r="N38" s="2" t="s">
        <v>90</v>
      </c>
      <c r="O38" s="2" t="s">
        <v>90</v>
      </c>
      <c r="P38" s="2" t="s">
        <v>90</v>
      </c>
    </row>
    <row r="39" ht="12.75" customHeight="1">
      <c r="A39" s="2" t="s">
        <v>303</v>
      </c>
      <c r="B39" s="2" t="s">
        <v>16</v>
      </c>
      <c r="C39" s="2" t="s">
        <v>90</v>
      </c>
      <c r="D39" s="2" t="s">
        <v>16</v>
      </c>
      <c r="E39" s="2" t="s">
        <v>90</v>
      </c>
      <c r="F39" s="2" t="s">
        <v>15</v>
      </c>
      <c r="G39" s="2" t="s">
        <v>90</v>
      </c>
      <c r="H39" s="2" t="s">
        <v>89</v>
      </c>
      <c r="I39" s="2" t="s">
        <v>15</v>
      </c>
      <c r="J39" s="2" t="s">
        <v>15</v>
      </c>
      <c r="K39" s="2" t="s">
        <v>90</v>
      </c>
      <c r="L39" s="2" t="s">
        <v>90</v>
      </c>
      <c r="M39" s="2" t="s">
        <v>90</v>
      </c>
      <c r="N39" s="2" t="s">
        <v>90</v>
      </c>
      <c r="O39" s="2" t="s">
        <v>90</v>
      </c>
      <c r="P39" s="2" t="s">
        <v>90</v>
      </c>
    </row>
    <row r="40" ht="12.75" customHeight="1">
      <c r="A40" s="2" t="s">
        <v>304</v>
      </c>
      <c r="B40" s="2" t="s">
        <v>90</v>
      </c>
      <c r="C40" s="2" t="s">
        <v>90</v>
      </c>
      <c r="D40" s="2" t="s">
        <v>16</v>
      </c>
      <c r="E40" s="2" t="s">
        <v>90</v>
      </c>
      <c r="F40" s="2" t="s">
        <v>90</v>
      </c>
      <c r="G40" s="2" t="s">
        <v>90</v>
      </c>
      <c r="H40" s="2" t="s">
        <v>15</v>
      </c>
      <c r="I40" s="2" t="s">
        <v>17</v>
      </c>
      <c r="J40" s="2" t="s">
        <v>15</v>
      </c>
      <c r="K40" s="2" t="s">
        <v>90</v>
      </c>
      <c r="L40" s="2" t="s">
        <v>90</v>
      </c>
      <c r="M40" s="2" t="s">
        <v>90</v>
      </c>
      <c r="N40" s="2" t="s">
        <v>90</v>
      </c>
      <c r="O40" s="2" t="s">
        <v>90</v>
      </c>
      <c r="P40" s="2" t="s">
        <v>90</v>
      </c>
    </row>
    <row r="41" ht="12.75" customHeight="1">
      <c r="A41" s="2" t="s">
        <v>305</v>
      </c>
      <c r="B41" s="2" t="s">
        <v>90</v>
      </c>
      <c r="C41" s="2" t="s">
        <v>90</v>
      </c>
      <c r="D41" s="2" t="s">
        <v>90</v>
      </c>
      <c r="E41" s="2" t="s">
        <v>90</v>
      </c>
      <c r="F41" s="2" t="s">
        <v>90</v>
      </c>
      <c r="G41" s="2" t="s">
        <v>90</v>
      </c>
      <c r="H41" s="2" t="s">
        <v>16</v>
      </c>
      <c r="I41" s="2" t="s">
        <v>15</v>
      </c>
      <c r="J41" s="2" t="s">
        <v>17</v>
      </c>
      <c r="K41" s="2" t="s">
        <v>90</v>
      </c>
      <c r="L41" s="2" t="s">
        <v>90</v>
      </c>
      <c r="M41" s="2" t="s">
        <v>90</v>
      </c>
      <c r="N41" s="2" t="s">
        <v>90</v>
      </c>
      <c r="O41" s="2" t="s">
        <v>90</v>
      </c>
      <c r="P41" s="2" t="s">
        <v>90</v>
      </c>
    </row>
    <row r="42" ht="12.75" customHeight="1">
      <c r="A42" s="2" t="s">
        <v>42</v>
      </c>
      <c r="B42" s="2" t="s">
        <v>89</v>
      </c>
      <c r="C42" s="2" t="s">
        <v>16</v>
      </c>
      <c r="D42" s="2" t="s">
        <v>16</v>
      </c>
      <c r="E42" s="2" t="s">
        <v>89</v>
      </c>
      <c r="F42" s="2" t="s">
        <v>89</v>
      </c>
      <c r="G42" s="2" t="s">
        <v>16</v>
      </c>
      <c r="H42" s="2" t="s">
        <v>90</v>
      </c>
      <c r="I42" s="2" t="s">
        <v>89</v>
      </c>
      <c r="J42" s="2" t="s">
        <v>90</v>
      </c>
      <c r="K42" s="2" t="s">
        <v>90</v>
      </c>
      <c r="L42" s="2" t="s">
        <v>89</v>
      </c>
      <c r="M42" s="2" t="s">
        <v>90</v>
      </c>
      <c r="N42" s="2" t="s">
        <v>90</v>
      </c>
      <c r="O42" s="2" t="s">
        <v>90</v>
      </c>
      <c r="P42" s="2" t="s">
        <v>90</v>
      </c>
    </row>
    <row r="43" ht="12.75" customHeight="1">
      <c r="A43" s="2" t="s">
        <v>306</v>
      </c>
      <c r="B43" s="2" t="s">
        <v>16</v>
      </c>
      <c r="C43" s="2" t="s">
        <v>89</v>
      </c>
      <c r="D43" s="2" t="s">
        <v>89</v>
      </c>
      <c r="E43" s="2" t="s">
        <v>89</v>
      </c>
      <c r="F43" s="2" t="s">
        <v>89</v>
      </c>
      <c r="G43" s="2" t="s">
        <v>89</v>
      </c>
      <c r="H43" s="2" t="s">
        <v>16</v>
      </c>
      <c r="I43" s="2" t="s">
        <v>16</v>
      </c>
      <c r="J43" s="2" t="s">
        <v>89</v>
      </c>
      <c r="K43" s="2" t="s">
        <v>90</v>
      </c>
      <c r="L43" s="2" t="s">
        <v>90</v>
      </c>
      <c r="M43" s="2" t="s">
        <v>90</v>
      </c>
      <c r="N43" s="2" t="s">
        <v>90</v>
      </c>
      <c r="O43" s="2" t="s">
        <v>90</v>
      </c>
      <c r="P43" s="2" t="s">
        <v>90</v>
      </c>
    </row>
    <row r="44" ht="12.75" customHeight="1">
      <c r="A44" s="2" t="s">
        <v>92</v>
      </c>
      <c r="B44" s="2" t="s">
        <v>89</v>
      </c>
      <c r="C44" s="2" t="s">
        <v>89</v>
      </c>
      <c r="D44" s="2" t="s">
        <v>16</v>
      </c>
      <c r="E44" s="2" t="s">
        <v>16</v>
      </c>
      <c r="F44" s="2" t="s">
        <v>89</v>
      </c>
      <c r="G44" s="2" t="s">
        <v>90</v>
      </c>
      <c r="H44" s="2" t="s">
        <v>16</v>
      </c>
      <c r="I44" s="2" t="s">
        <v>90</v>
      </c>
      <c r="J44" s="2" t="s">
        <v>89</v>
      </c>
      <c r="K44" s="2" t="s">
        <v>90</v>
      </c>
      <c r="L44" s="2" t="s">
        <v>90</v>
      </c>
      <c r="M44" s="2" t="s">
        <v>90</v>
      </c>
      <c r="N44" s="2" t="s">
        <v>90</v>
      </c>
      <c r="O44" s="2" t="s">
        <v>90</v>
      </c>
      <c r="P44" s="2" t="s">
        <v>90</v>
      </c>
    </row>
    <row r="45" ht="12.75" customHeight="1">
      <c r="A45" s="2" t="s">
        <v>289</v>
      </c>
      <c r="B45" s="2" t="s">
        <v>15</v>
      </c>
      <c r="C45" s="2" t="s">
        <v>16</v>
      </c>
      <c r="D45" s="2" t="s">
        <v>89</v>
      </c>
      <c r="E45" s="2" t="s">
        <v>17</v>
      </c>
      <c r="F45" s="2" t="s">
        <v>89</v>
      </c>
      <c r="G45" s="2" t="s">
        <v>15</v>
      </c>
      <c r="H45" s="2" t="s">
        <v>89</v>
      </c>
      <c r="I45" s="2" t="s">
        <v>17</v>
      </c>
      <c r="J45" s="2" t="s">
        <v>15</v>
      </c>
      <c r="K45" s="2" t="s">
        <v>90</v>
      </c>
      <c r="L45" s="2" t="s">
        <v>90</v>
      </c>
      <c r="M45" s="2" t="s">
        <v>90</v>
      </c>
      <c r="N45" s="2" t="s">
        <v>90</v>
      </c>
      <c r="O45" s="2" t="s">
        <v>90</v>
      </c>
      <c r="P45" s="2" t="s">
        <v>90</v>
      </c>
    </row>
    <row r="46" ht="12.75" customHeight="1"/>
    <row r="47" ht="12.75" hidden="1" customHeight="1"/>
    <row r="48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customHeight="1"/>
    <row r="100" ht="12.75" customHeight="1">
      <c r="A100" s="2" t="s">
        <v>89</v>
      </c>
      <c r="B100" s="3">
        <f t="array" ref="B100">SUM(IF(B2:B99="v",1))</f>
        <v>10</v>
      </c>
      <c r="C100" s="3">
        <f t="array" ref="C100">SUM(IF(C2:C99="v",1))</f>
        <v>14</v>
      </c>
      <c r="D100" s="3">
        <f t="array" ref="D100">SUM(IF(D2:D99="v",1))</f>
        <v>10</v>
      </c>
      <c r="E100" s="3">
        <f t="array" ref="E100">SUM(IF(E2:E99="v",1))</f>
        <v>11</v>
      </c>
      <c r="F100" s="3">
        <f t="array" ref="F100">SUM(IF(F2:F99="v",1))</f>
        <v>22</v>
      </c>
      <c r="G100" s="3">
        <f t="array" ref="G100">SUM(IF(G2:G99="v",1))</f>
        <v>5</v>
      </c>
      <c r="H100" s="3">
        <f t="array" ref="H100">SUM(IF(H2:H99="v",1))</f>
        <v>13</v>
      </c>
      <c r="I100" s="3">
        <f t="array" ref="I100">SUM(IF(I2:I99="v",1))</f>
        <v>18</v>
      </c>
      <c r="J100" s="3">
        <f t="array" ref="J100">SUM(IF(J2:J99="v",1))</f>
        <v>16</v>
      </c>
      <c r="K100" s="3">
        <f t="array" ref="K100">SUM(IF(K2:K99="v",1))</f>
        <v>0</v>
      </c>
      <c r="L100" s="3">
        <f t="array" ref="L100">SUM(IF(L2:L99="v",1))</f>
        <v>6</v>
      </c>
      <c r="M100" s="3">
        <f t="array" ref="M100">SUM(IF(M2:M99="v",1))</f>
        <v>3</v>
      </c>
      <c r="N100" s="3">
        <f t="array" ref="N100">SUM(IF(N2:N99="v",1))</f>
        <v>0</v>
      </c>
      <c r="O100" s="3">
        <f t="array" ref="O100">SUM(IF(O2:O99="v",1))</f>
        <v>4</v>
      </c>
      <c r="P100" s="3">
        <f t="array" ref="P100">SUM(IF(P2:P99="v",1))</f>
        <v>1</v>
      </c>
    </row>
    <row r="101" ht="12.75" customHeight="1">
      <c r="A101" s="2" t="s">
        <v>90</v>
      </c>
      <c r="B101" s="3">
        <f t="array" ref="B101">SUM(IF(B2:B99="x",1))</f>
        <v>7</v>
      </c>
      <c r="C101" s="3">
        <f t="array" ref="C101">SUM(IF(C2:C99="x",1))</f>
        <v>13</v>
      </c>
      <c r="D101" s="3">
        <f t="array" ref="D101">SUM(IF(D2:D99="x",1))</f>
        <v>10</v>
      </c>
      <c r="E101" s="3">
        <f t="array" ref="E101">SUM(IF(E2:E99="x",1))</f>
        <v>10</v>
      </c>
      <c r="F101" s="3">
        <f t="array" ref="F101">SUM(IF(F2:F99="x",1))</f>
        <v>3</v>
      </c>
      <c r="G101" s="3">
        <f t="array" ref="G101">SUM(IF(G2:G99="x",1))</f>
        <v>29</v>
      </c>
      <c r="H101" s="3">
        <f t="array" ref="H101">SUM(IF(H2:H99="x",1))</f>
        <v>17</v>
      </c>
      <c r="I101" s="3">
        <f t="array" ref="I101">SUM(IF(I2:I99="x",1))</f>
        <v>11</v>
      </c>
      <c r="J101" s="3">
        <f t="array" ref="J101">SUM(IF(J2:J99="x",1))</f>
        <v>14</v>
      </c>
      <c r="K101" s="3">
        <f t="array" ref="K101">SUM(IF(K2:K99="x",1))</f>
        <v>41</v>
      </c>
      <c r="L101" s="3">
        <f t="array" ref="L101">SUM(IF(L2:L99="x",1))</f>
        <v>35</v>
      </c>
      <c r="M101" s="3">
        <f t="array" ref="M101">SUM(IF(M2:M99="x",1))</f>
        <v>34</v>
      </c>
      <c r="N101" s="3">
        <f t="array" ref="N101">SUM(IF(N2:N99="x",1))</f>
        <v>44</v>
      </c>
      <c r="O101" s="3">
        <f t="array" ref="O101">SUM(IF(O2:O99="x",1))</f>
        <v>40</v>
      </c>
      <c r="P101" s="3">
        <f t="array" ref="P101">SUM(IF(P2:P99="x",1))</f>
        <v>43</v>
      </c>
    </row>
    <row r="102" ht="12.75" customHeight="1">
      <c r="A102" s="2" t="s">
        <v>128</v>
      </c>
      <c r="B102" s="3">
        <f t="shared" ref="B102:P102" si="1">B100+B103+B104+B105</f>
        <v>37</v>
      </c>
      <c r="C102" s="3">
        <f t="shared" si="1"/>
        <v>31</v>
      </c>
      <c r="D102" s="3">
        <f t="shared" si="1"/>
        <v>34</v>
      </c>
      <c r="E102" s="3">
        <f t="shared" si="1"/>
        <v>34</v>
      </c>
      <c r="F102" s="3">
        <f t="shared" si="1"/>
        <v>41</v>
      </c>
      <c r="G102" s="3">
        <f t="shared" si="1"/>
        <v>15</v>
      </c>
      <c r="H102" s="3">
        <f t="shared" si="1"/>
        <v>27</v>
      </c>
      <c r="I102" s="3">
        <f t="shared" si="1"/>
        <v>33</v>
      </c>
      <c r="J102" s="3">
        <f t="shared" si="1"/>
        <v>30</v>
      </c>
      <c r="K102" s="3">
        <f t="shared" si="1"/>
        <v>3</v>
      </c>
      <c r="L102" s="3">
        <f t="shared" si="1"/>
        <v>9</v>
      </c>
      <c r="M102" s="3">
        <f t="shared" si="1"/>
        <v>10</v>
      </c>
      <c r="N102" s="3">
        <f t="shared" si="1"/>
        <v>0</v>
      </c>
      <c r="O102" s="3">
        <f t="shared" si="1"/>
        <v>4</v>
      </c>
      <c r="P102" s="3">
        <f t="shared" si="1"/>
        <v>1</v>
      </c>
    </row>
    <row r="103" ht="12.75" customHeight="1">
      <c r="A103" s="2" t="s">
        <v>17</v>
      </c>
      <c r="B103" s="3">
        <f t="array" ref="B103">SUM(IF(B$2:B$99=$A103,1))</f>
        <v>2</v>
      </c>
      <c r="C103" s="3">
        <f t="array" ref="C103">SUM(IF(C$2:C$99=$A103,1))</f>
        <v>4</v>
      </c>
      <c r="D103" s="3">
        <f t="array" ref="D103">SUM(IF(D$2:D$99=$A103,1))</f>
        <v>4</v>
      </c>
      <c r="E103" s="3">
        <f t="array" ref="E103">SUM(IF(E$2:E$99=$A103,1))</f>
        <v>7</v>
      </c>
      <c r="F103" s="3">
        <f t="array" ref="F103">SUM(IF(F$2:F$99=$A103,1))</f>
        <v>3</v>
      </c>
      <c r="G103" s="3">
        <f t="array" ref="G103">SUM(IF(G$2:G$99=$A103,1))</f>
        <v>1</v>
      </c>
      <c r="H103" s="3">
        <f t="array" ref="H103">SUM(IF(H$2:H$99=$A103,1))</f>
        <v>3</v>
      </c>
      <c r="I103" s="3">
        <f t="array" ref="I103">SUM(IF(I$2:I$99=$A103,1))</f>
        <v>3</v>
      </c>
      <c r="J103" s="3">
        <f t="array" ref="J103">SUM(IF(J$2:J$99=$A103,1))</f>
        <v>4</v>
      </c>
      <c r="K103" s="3">
        <f t="array" ref="K103">SUM(IF(K$2:K$99=$A103,1))</f>
        <v>0</v>
      </c>
      <c r="L103" s="3">
        <f t="array" ref="L103">SUM(IF(L$2:L$99=$A103,1))</f>
        <v>1</v>
      </c>
      <c r="M103" s="3">
        <f t="array" ref="M103">SUM(IF(M$2:M$99=$A103,1))</f>
        <v>2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</row>
    <row r="104" ht="12.75" customHeight="1">
      <c r="A104" s="2" t="s">
        <v>15</v>
      </c>
      <c r="B104" s="3">
        <f t="array" ref="B104">SUM(IF(B$2:B$99=$A104,1))</f>
        <v>7</v>
      </c>
      <c r="C104" s="3">
        <f t="array" ref="C104">SUM(IF(C$2:C$99=$A104,1))</f>
        <v>7</v>
      </c>
      <c r="D104" s="3">
        <f t="array" ref="D104">SUM(IF(D$2:D$99=$A104,1))</f>
        <v>8</v>
      </c>
      <c r="E104" s="3">
        <f t="array" ref="E104">SUM(IF(E$2:E$99=$A104,1))</f>
        <v>7</v>
      </c>
      <c r="F104" s="3">
        <f t="array" ref="F104">SUM(IF(F$2:F$99=$A104,1))</f>
        <v>7</v>
      </c>
      <c r="G104" s="3">
        <f t="array" ref="G104">SUM(IF(G$2:G$99=$A104,1))</f>
        <v>6</v>
      </c>
      <c r="H104" s="3">
        <f t="array" ref="H104">SUM(IF(H$2:H$99=$A104,1))</f>
        <v>4</v>
      </c>
      <c r="I104" s="3">
        <f t="array" ref="I104">SUM(IF(I$2:I$99=$A104,1))</f>
        <v>5</v>
      </c>
      <c r="J104" s="3">
        <f t="array" ref="J104">SUM(IF(J$2:J$99=$A104,1))</f>
        <v>7</v>
      </c>
      <c r="K104" s="3">
        <f t="array" ref="K104">SUM(IF(K$2:K$99=$A104,1))</f>
        <v>2</v>
      </c>
      <c r="L104" s="3">
        <f t="array" ref="L104">SUM(IF(L$2:L$99=$A104,1))</f>
        <v>1</v>
      </c>
      <c r="M104" s="3">
        <f t="array" ref="M104">SUM(IF(M$2:M$99=$A104,1))</f>
        <v>5</v>
      </c>
      <c r="N104" s="3">
        <f t="array" ref="N104">SUM(IF(N$2:N$99=$A104,1))</f>
        <v>0</v>
      </c>
      <c r="O104" s="3">
        <f t="array" ref="O104">SUM(IF(O$2:O$99=$A104,1))</f>
        <v>0</v>
      </c>
      <c r="P104" s="3">
        <f t="array" ref="P104">SUM(IF(P$2:P$99=$A104,1))</f>
        <v>0</v>
      </c>
    </row>
    <row r="105" ht="12.75" customHeight="1">
      <c r="A105" s="2" t="s">
        <v>16</v>
      </c>
      <c r="B105" s="3">
        <f t="array" ref="B105">SUM(IF(B$2:B$99=$A105,1))</f>
        <v>18</v>
      </c>
      <c r="C105" s="3">
        <f t="array" ref="C105">SUM(IF(C$2:C$99=$A105,1))</f>
        <v>6</v>
      </c>
      <c r="D105" s="3">
        <f t="array" ref="D105">SUM(IF(D$2:D$99=$A105,1))</f>
        <v>12</v>
      </c>
      <c r="E105" s="3">
        <f t="array" ref="E105">SUM(IF(E$2:E$99=$A105,1))</f>
        <v>9</v>
      </c>
      <c r="F105" s="3">
        <f t="array" ref="F105">SUM(IF(F$2:F$99=$A105,1))</f>
        <v>9</v>
      </c>
      <c r="G105" s="3">
        <f t="array" ref="G105">SUM(IF(G$2:G$99=$A105,1))</f>
        <v>3</v>
      </c>
      <c r="H105" s="3">
        <f t="array" ref="H105">SUM(IF(H$2:H$99=$A105,1))</f>
        <v>7</v>
      </c>
      <c r="I105" s="3">
        <f t="array" ref="I105">SUM(IF(I$2:I$99=$A105,1))</f>
        <v>7</v>
      </c>
      <c r="J105" s="3">
        <f t="array" ref="J105">SUM(IF(J$2:J$99=$A105,1))</f>
        <v>3</v>
      </c>
      <c r="K105" s="3">
        <f t="array" ref="K105">SUM(IF(K$2:K$99=$A105,1))</f>
        <v>1</v>
      </c>
      <c r="L105" s="3">
        <f t="array" ref="L105">SUM(IF(L$2:L$99=$A105,1))</f>
        <v>1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0</v>
      </c>
      <c r="P105" s="3">
        <f t="array" ref="P105">SUM(IF(P$2:P$99=$A105,1))</f>
        <v>0</v>
      </c>
    </row>
    <row r="106" ht="12.75" customHeight="1">
      <c r="A106" s="4" t="s">
        <v>129</v>
      </c>
      <c r="B106" s="4">
        <f t="shared" ref="B106:P106" si="2">B103+B104*2+B105*3</f>
        <v>70</v>
      </c>
      <c r="C106" s="4">
        <f t="shared" si="2"/>
        <v>36</v>
      </c>
      <c r="D106" s="4">
        <f t="shared" si="2"/>
        <v>56</v>
      </c>
      <c r="E106" s="4">
        <f t="shared" si="2"/>
        <v>48</v>
      </c>
      <c r="F106" s="4">
        <f t="shared" si="2"/>
        <v>44</v>
      </c>
      <c r="G106" s="4">
        <f t="shared" si="2"/>
        <v>22</v>
      </c>
      <c r="H106" s="4">
        <f t="shared" si="2"/>
        <v>32</v>
      </c>
      <c r="I106" s="4">
        <f t="shared" si="2"/>
        <v>34</v>
      </c>
      <c r="J106" s="4">
        <f t="shared" si="2"/>
        <v>27</v>
      </c>
      <c r="K106" s="4">
        <f t="shared" si="2"/>
        <v>7</v>
      </c>
      <c r="L106" s="4">
        <f t="shared" si="2"/>
        <v>6</v>
      </c>
      <c r="M106" s="4">
        <f t="shared" si="2"/>
        <v>12</v>
      </c>
      <c r="N106" s="4">
        <f t="shared" si="2"/>
        <v>0</v>
      </c>
      <c r="O106" s="4">
        <f t="shared" si="2"/>
        <v>0</v>
      </c>
      <c r="P106" s="4">
        <f t="shared" si="2"/>
        <v>0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2" t="s">
        <v>130</v>
      </c>
      <c r="B107" s="11">
        <f t="shared" ref="B107:P107" si="3">IF(B100+B103+B104+B105&lt;&gt;0,B106/(B100+B103+B104+B105),0)</f>
        <v>1.891891892</v>
      </c>
      <c r="C107" s="11">
        <f t="shared" si="3"/>
        <v>1.161290323</v>
      </c>
      <c r="D107" s="11">
        <f t="shared" si="3"/>
        <v>1.647058824</v>
      </c>
      <c r="E107" s="11">
        <f t="shared" si="3"/>
        <v>1.411764706</v>
      </c>
      <c r="F107" s="11">
        <f t="shared" si="3"/>
        <v>1.073170732</v>
      </c>
      <c r="G107" s="11">
        <f t="shared" si="3"/>
        <v>1.466666667</v>
      </c>
      <c r="H107" s="11">
        <f t="shared" si="3"/>
        <v>1.185185185</v>
      </c>
      <c r="I107" s="11">
        <f t="shared" si="3"/>
        <v>1.03030303</v>
      </c>
      <c r="J107" s="11">
        <f t="shared" si="3"/>
        <v>0.9</v>
      </c>
      <c r="K107" s="11">
        <f t="shared" si="3"/>
        <v>2.333333333</v>
      </c>
      <c r="L107" s="11">
        <f t="shared" si="3"/>
        <v>0.6666666667</v>
      </c>
      <c r="M107" s="11">
        <f t="shared" si="3"/>
        <v>1.2</v>
      </c>
      <c r="N107" s="11">
        <f t="shared" si="3"/>
        <v>0</v>
      </c>
      <c r="O107" s="11">
        <f t="shared" si="3"/>
        <v>0</v>
      </c>
      <c r="P107" s="11">
        <f t="shared" si="3"/>
        <v>0</v>
      </c>
    </row>
    <row r="108" ht="12.75" customHeight="1">
      <c r="A108" s="2" t="s">
        <v>131</v>
      </c>
      <c r="B108" s="3">
        <f t="shared" ref="B108:P108" si="4">B102+B101</f>
        <v>44</v>
      </c>
      <c r="C108" s="3">
        <f t="shared" si="4"/>
        <v>44</v>
      </c>
      <c r="D108" s="3">
        <f t="shared" si="4"/>
        <v>44</v>
      </c>
      <c r="E108" s="3">
        <f t="shared" si="4"/>
        <v>44</v>
      </c>
      <c r="F108" s="3">
        <f t="shared" si="4"/>
        <v>44</v>
      </c>
      <c r="G108" s="3">
        <f t="shared" si="4"/>
        <v>44</v>
      </c>
      <c r="H108" s="3">
        <f t="shared" si="4"/>
        <v>44</v>
      </c>
      <c r="I108" s="3">
        <f t="shared" si="4"/>
        <v>44</v>
      </c>
      <c r="J108" s="3">
        <f t="shared" si="4"/>
        <v>44</v>
      </c>
      <c r="K108" s="3">
        <f t="shared" si="4"/>
        <v>44</v>
      </c>
      <c r="L108" s="3">
        <f t="shared" si="4"/>
        <v>44</v>
      </c>
      <c r="M108" s="3">
        <f t="shared" si="4"/>
        <v>44</v>
      </c>
      <c r="N108" s="3">
        <f t="shared" si="4"/>
        <v>44</v>
      </c>
      <c r="O108" s="3">
        <f t="shared" si="4"/>
        <v>44</v>
      </c>
      <c r="P108" s="3">
        <f t="shared" si="4"/>
        <v>44</v>
      </c>
    </row>
    <row r="109" ht="12.75" customHeight="1"/>
    <row r="110" ht="12.75" customHeight="1">
      <c r="A110" s="2" t="s">
        <v>132</v>
      </c>
      <c r="B110" s="3">
        <f>B106+G106+J106+I106</f>
        <v>153</v>
      </c>
      <c r="D110" s="2" t="s">
        <v>133</v>
      </c>
      <c r="E110" s="12">
        <f>B106+G106</f>
        <v>92</v>
      </c>
      <c r="G110" s="2" t="s">
        <v>134</v>
      </c>
      <c r="H110" s="3">
        <f>I106+J106</f>
        <v>61</v>
      </c>
      <c r="J110" s="2" t="s">
        <v>135</v>
      </c>
      <c r="K110" s="3">
        <f>B102+G102+I102+J102</f>
        <v>115</v>
      </c>
      <c r="M110" s="2" t="s">
        <v>136</v>
      </c>
      <c r="N110" s="11">
        <f t="shared" ref="N110:N112" si="5">B110/K110</f>
        <v>1.330434783</v>
      </c>
    </row>
    <row r="111" ht="12.75" customHeight="1">
      <c r="A111" s="2" t="s">
        <v>137</v>
      </c>
      <c r="B111" s="3">
        <f>C106+E106+H106+L106+M106</f>
        <v>134</v>
      </c>
      <c r="D111" s="2" t="s">
        <v>138</v>
      </c>
      <c r="E111" s="3">
        <f>M106+L106</f>
        <v>18</v>
      </c>
      <c r="G111" s="2" t="s">
        <v>139</v>
      </c>
      <c r="H111" s="3">
        <f>C106+E106+H106</f>
        <v>116</v>
      </c>
      <c r="J111" s="2" t="s">
        <v>135</v>
      </c>
      <c r="K111" s="3">
        <f>C102+E102+H102+L102+M102</f>
        <v>111</v>
      </c>
      <c r="M111" s="2" t="s">
        <v>136</v>
      </c>
      <c r="N111" s="11">
        <f t="shared" si="5"/>
        <v>1.207207207</v>
      </c>
    </row>
    <row r="112" ht="12.75" customHeight="1">
      <c r="A112" s="2" t="s">
        <v>140</v>
      </c>
      <c r="B112" s="3">
        <f>D106+F106+K106+N106</f>
        <v>107</v>
      </c>
      <c r="D112" s="2" t="s">
        <v>141</v>
      </c>
      <c r="E112" s="3">
        <f>K106+N106</f>
        <v>7</v>
      </c>
      <c r="G112" s="2" t="s">
        <v>142</v>
      </c>
      <c r="H112" s="3">
        <f>D106+F106</f>
        <v>100</v>
      </c>
      <c r="J112" s="2" t="s">
        <v>135</v>
      </c>
      <c r="K112" s="3">
        <f>D102+F102+K102+N102</f>
        <v>78</v>
      </c>
      <c r="M112" s="2" t="s">
        <v>136</v>
      </c>
      <c r="N112" s="11">
        <f t="shared" si="5"/>
        <v>1.371794872</v>
      </c>
    </row>
    <row r="113" ht="12.75" customHeight="1"/>
    <row r="114" ht="12.75" customHeight="1">
      <c r="A114" s="2" t="s">
        <v>143</v>
      </c>
      <c r="B114" s="3">
        <f>H110+H111+H112</f>
        <v>277</v>
      </c>
    </row>
    <row r="115" ht="12.75" customHeight="1">
      <c r="A115" s="2" t="s">
        <v>144</v>
      </c>
      <c r="B115" s="12">
        <f>E110+E111+E112</f>
        <v>117</v>
      </c>
    </row>
    <row r="116" ht="12.75" customHeight="1"/>
    <row r="117" ht="12.75" customHeight="1">
      <c r="A117" s="2" t="s">
        <v>144</v>
      </c>
      <c r="B117" s="2" t="s">
        <v>307</v>
      </c>
    </row>
    <row r="118" ht="12.75" customHeight="1">
      <c r="A118" s="2" t="s">
        <v>308</v>
      </c>
      <c r="B118" s="2" t="s">
        <v>309</v>
      </c>
    </row>
    <row r="119" ht="12.75" customHeight="1"/>
    <row r="120" ht="12.75" customHeight="1">
      <c r="A120" s="5" t="s">
        <v>145</v>
      </c>
      <c r="B120" s="5" t="s">
        <v>0</v>
      </c>
    </row>
    <row r="121" ht="12.75" customHeight="1"/>
    <row r="122" ht="12.75" customHeight="1">
      <c r="A122" s="2" t="s">
        <v>69</v>
      </c>
      <c r="O122" s="2" t="s">
        <v>310</v>
      </c>
    </row>
    <row r="123" ht="12.75" customHeight="1">
      <c r="A123" s="2" t="s">
        <v>311</v>
      </c>
      <c r="B123" s="3">
        <f>B106+'2013'!B106+'2012'!B106+'2011'!B106+'2010'!B83+'2009'!B52</f>
        <v>413.75</v>
      </c>
      <c r="C123" s="3">
        <f>C106+'2013'!C106+'2012'!C106+'2011'!C106+'2010'!C83+'2009'!C52</f>
        <v>369.5</v>
      </c>
      <c r="D123" s="3">
        <f>D106+'2013'!D106+'2012'!D106+'2011'!D106+'2010'!D83+'2009'!D52</f>
        <v>263</v>
      </c>
      <c r="E123" s="3">
        <f>E106+'2013'!E106+'2012'!E106+'2011'!E106+'2010'!E83+'2009'!E52</f>
        <v>364.25</v>
      </c>
      <c r="F123" s="3">
        <f>F106+'2013'!F106+'2012'!F106+'2011'!F106+'2010'!F83+'2009'!F52</f>
        <v>373.25</v>
      </c>
      <c r="G123" s="3">
        <f>G106+'2013'!G106+'2012'!G106+'2011'!G106+'2010'!G83+'2009'!G52</f>
        <v>168</v>
      </c>
      <c r="H123" s="3">
        <f>H106+'2013'!H106+'2012'!H106+'2011'!H106+'2010'!H83+'2009'!H52</f>
        <v>138.25</v>
      </c>
      <c r="I123" s="3">
        <f>I106+'2013'!I106+'2012'!I106+'2011'!I106+'2010'!I83+'2009'!I52</f>
        <v>158.5</v>
      </c>
      <c r="J123" s="3">
        <f>J106+'2013'!J106+'2012'!J106+'2011'!J106+'2010'!J83+'2009'!J52</f>
        <v>124</v>
      </c>
      <c r="K123" s="3">
        <f>K106+'2013'!K106+'2012'!K106+'2011'!K106+'2010'!K83+'2009'!K52</f>
        <v>102</v>
      </c>
      <c r="L123" s="3">
        <f>L106+'2013'!L106+'2012'!L106+'2011'!L106+'2010'!L83+'2009'!L52</f>
        <v>18</v>
      </c>
      <c r="M123" s="3">
        <f>M106+'2013'!M106+'2012'!M106+'2011'!M106+'2010'!M83+'2009'!M52</f>
        <v>34</v>
      </c>
      <c r="N123" s="3">
        <f>N106+'2013'!N106+'2012'!N106+'2011'!N106+'2010'!N83+'2009'!N52</f>
        <v>12</v>
      </c>
      <c r="O123" s="3">
        <f>O106+P106+'2013'!P106+'2013'!O106+'2012'!O106+'2012'!P106+'2011'!P106+'2011'!O106+'2010'!O83+'2009'!O52</f>
        <v>23.25</v>
      </c>
    </row>
    <row r="124" ht="12.75" customHeight="1"/>
    <row r="125" ht="12.75" customHeight="1">
      <c r="A125" s="16" t="s">
        <v>85</v>
      </c>
      <c r="B125" s="16">
        <f>SUM(IF($B1=B$120,1))+'2013'!B119</f>
        <v>3</v>
      </c>
      <c r="C125" s="16">
        <f>SUM(IF($C1=B$120,1))+'2013'!C119</f>
        <v>2</v>
      </c>
      <c r="D125" s="16">
        <f>SUM(IF($D1=B$120,1))+'2013'!D119</f>
        <v>0</v>
      </c>
      <c r="E125" s="16">
        <f>SUM(IF($E1=B$120,1))+'2013'!E119</f>
        <v>1</v>
      </c>
      <c r="F125" s="16">
        <f>SUM(IF($F1=B$120,1))+'2013'!F119</f>
        <v>1</v>
      </c>
      <c r="G125" s="16">
        <f>SUM(IF($G1=B$120,1))+'2013'!G119</f>
        <v>0</v>
      </c>
      <c r="H125" s="18">
        <f>SUM(IF($H1=B$120,1))+'2013'!H119</f>
        <v>0</v>
      </c>
      <c r="I125" s="16">
        <f>SUM(IF($I1=B$120,1))+'2013'!I119</f>
        <v>0</v>
      </c>
      <c r="J125" s="16">
        <f>SUM(IF($J1=B$120,1))+'2013'!J119</f>
        <v>0</v>
      </c>
      <c r="K125" s="16">
        <f>SUM(IF($K1=B$120,1))+'2013'!K119</f>
        <v>0</v>
      </c>
      <c r="L125" s="16">
        <f>SUM(IF($L1=B$120,1))+'2013'!L119</f>
        <v>0</v>
      </c>
      <c r="M125" s="16">
        <f>SUM(IF($M1=B$120,1))+'2013'!M119</f>
        <v>0</v>
      </c>
      <c r="N125" s="16">
        <f>SUM(IF($N1=B$120,1))+'2013'!N119</f>
        <v>0</v>
      </c>
      <c r="O125" s="16">
        <f>SUM(IF($O1=B$120,1))+'2013'!P119</f>
        <v>0</v>
      </c>
      <c r="P125" s="16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/>
    <row r="127" ht="12.75" customHeight="1">
      <c r="A127" s="2" t="s">
        <v>312</v>
      </c>
      <c r="C127" s="3">
        <f>B108+'2013'!B108+'2012'!B108+'2011'!B108+'2010'!B85+'2015'!F62</f>
        <v>321</v>
      </c>
    </row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45"/>
  <conditionalFormatting sqref="B100:P107">
    <cfRule type="cellIs" dxfId="0" priority="1" stopIfTrue="1" operator="equal">
      <formula>"PLATA"</formula>
    </cfRule>
  </conditionalFormatting>
  <conditionalFormatting sqref="B100:P107">
    <cfRule type="cellIs" dxfId="1" priority="2" stopIfTrue="1" operator="equal">
      <formula>"ORO"</formula>
    </cfRule>
  </conditionalFormatting>
  <conditionalFormatting sqref="B100:P107">
    <cfRule type="cellIs" dxfId="2" priority="3" stopIfTrue="1" operator="equal">
      <formula>"BRONCE"</formula>
    </cfRule>
  </conditionalFormatting>
  <conditionalFormatting sqref="N110:N112">
    <cfRule type="cellIs" dxfId="0" priority="4" stopIfTrue="1" operator="equal">
      <formula>"PLATA"</formula>
    </cfRule>
  </conditionalFormatting>
  <conditionalFormatting sqref="N110:N112">
    <cfRule type="cellIs" dxfId="1" priority="5" stopIfTrue="1" operator="equal">
      <formula>"ORO"</formula>
    </cfRule>
  </conditionalFormatting>
  <conditionalFormatting sqref="N110:N112">
    <cfRule type="cellIs" dxfId="2" priority="6" stopIfTrue="1" operator="equal">
      <formula>"BRONCE"</formula>
    </cfRule>
  </conditionalFormatting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13"/>
    <col customWidth="1" min="2" max="2" width="10.75"/>
    <col customWidth="1" min="3" max="3" width="11.63"/>
    <col customWidth="1" min="4" max="4" width="10.75"/>
    <col customWidth="1" min="5" max="5" width="11.63"/>
    <col customWidth="1" min="6" max="12" width="10.75"/>
    <col customWidth="1" min="13" max="13" width="9.75"/>
    <col customWidth="1" min="14" max="14" width="9.25"/>
    <col customWidth="1" min="15" max="15" width="9.0"/>
    <col customWidth="1" min="16" max="16" width="8.38"/>
    <col customWidth="1" min="17" max="36" width="11.63"/>
  </cols>
  <sheetData>
    <row r="1" ht="12.75" customHeight="1">
      <c r="A1" s="3">
        <v>2015.0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150</v>
      </c>
      <c r="P1" s="16" t="s">
        <v>151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12.75" customHeight="1">
      <c r="A2" s="16" t="s">
        <v>313</v>
      </c>
      <c r="B2" s="16" t="s">
        <v>314</v>
      </c>
      <c r="C2" s="3" t="s">
        <v>90</v>
      </c>
      <c r="D2" s="16" t="s">
        <v>315</v>
      </c>
      <c r="E2" s="3" t="s">
        <v>90</v>
      </c>
      <c r="F2" s="16" t="s">
        <v>314</v>
      </c>
      <c r="G2" s="16"/>
      <c r="H2" s="16"/>
      <c r="I2" s="16"/>
      <c r="J2" s="16"/>
      <c r="K2" s="16" t="s">
        <v>315</v>
      </c>
      <c r="L2" s="16"/>
      <c r="M2" s="3" t="s">
        <v>90</v>
      </c>
      <c r="N2" s="3" t="s">
        <v>90</v>
      </c>
      <c r="O2" s="16"/>
      <c r="P2" s="16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12.75" customHeight="1">
      <c r="A3" s="16" t="s">
        <v>18</v>
      </c>
      <c r="B3" s="16" t="s">
        <v>314</v>
      </c>
      <c r="C3" s="3" t="s">
        <v>90</v>
      </c>
      <c r="D3" s="16"/>
      <c r="E3" s="3" t="s">
        <v>90</v>
      </c>
      <c r="F3" s="16" t="s">
        <v>315</v>
      </c>
      <c r="G3" s="16"/>
      <c r="H3" s="16"/>
      <c r="I3" s="16" t="s">
        <v>314</v>
      </c>
      <c r="J3" s="16" t="s">
        <v>314</v>
      </c>
      <c r="K3" s="16" t="s">
        <v>315</v>
      </c>
      <c r="L3" s="16"/>
      <c r="M3" s="3" t="s">
        <v>90</v>
      </c>
      <c r="N3" s="3" t="s">
        <v>90</v>
      </c>
      <c r="O3" s="16"/>
      <c r="P3" s="16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2.75" customHeight="1">
      <c r="A4" s="16">
        <v>-1.0</v>
      </c>
      <c r="B4" s="16" t="s">
        <v>314</v>
      </c>
      <c r="C4" s="3" t="s">
        <v>90</v>
      </c>
      <c r="D4" s="16"/>
      <c r="E4" s="3" t="s">
        <v>90</v>
      </c>
      <c r="F4" s="16" t="s">
        <v>316</v>
      </c>
      <c r="G4" s="16"/>
      <c r="H4" s="16"/>
      <c r="I4" s="16"/>
      <c r="J4" s="16"/>
      <c r="K4" s="16" t="s">
        <v>315</v>
      </c>
      <c r="L4" s="16"/>
      <c r="M4" s="3" t="s">
        <v>90</v>
      </c>
      <c r="N4" s="3" t="s">
        <v>90</v>
      </c>
      <c r="O4" s="16"/>
      <c r="P4" s="16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12.75" customHeight="1">
      <c r="A5" s="16" t="s">
        <v>286</v>
      </c>
      <c r="B5" s="16" t="s">
        <v>315</v>
      </c>
      <c r="C5" s="3" t="s">
        <v>90</v>
      </c>
      <c r="D5" s="16"/>
      <c r="E5" s="3" t="s">
        <v>90</v>
      </c>
      <c r="F5" s="16" t="s">
        <v>314</v>
      </c>
      <c r="G5" s="16"/>
      <c r="H5" s="16"/>
      <c r="I5" s="16" t="s">
        <v>315</v>
      </c>
      <c r="J5" s="16" t="s">
        <v>314</v>
      </c>
      <c r="K5" s="16"/>
      <c r="L5" s="16"/>
      <c r="M5" s="3" t="s">
        <v>90</v>
      </c>
      <c r="N5" s="3" t="s">
        <v>90</v>
      </c>
      <c r="O5" s="16"/>
      <c r="P5" s="16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12.75" customHeight="1">
      <c r="A6" s="16" t="s">
        <v>91</v>
      </c>
      <c r="B6" s="16"/>
      <c r="C6" s="3" t="s">
        <v>90</v>
      </c>
      <c r="D6" s="16" t="s">
        <v>314</v>
      </c>
      <c r="E6" s="3" t="s">
        <v>90</v>
      </c>
      <c r="F6" s="16" t="s">
        <v>316</v>
      </c>
      <c r="G6" s="16" t="s">
        <v>315</v>
      </c>
      <c r="H6" s="16"/>
      <c r="I6" s="16" t="s">
        <v>316</v>
      </c>
      <c r="J6" s="16"/>
      <c r="K6" s="16"/>
      <c r="L6" s="16"/>
      <c r="M6" s="3" t="s">
        <v>90</v>
      </c>
      <c r="N6" s="3" t="s">
        <v>90</v>
      </c>
      <c r="O6" s="16"/>
      <c r="P6" s="16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12.75" customHeight="1">
      <c r="A7" s="16" t="s">
        <v>317</v>
      </c>
      <c r="B7" s="16" t="s">
        <v>314</v>
      </c>
      <c r="C7" s="3" t="s">
        <v>90</v>
      </c>
      <c r="D7" s="16"/>
      <c r="E7" s="3" t="s">
        <v>90</v>
      </c>
      <c r="F7" s="16" t="s">
        <v>315</v>
      </c>
      <c r="G7" s="16"/>
      <c r="H7" s="16"/>
      <c r="I7" s="16"/>
      <c r="J7" s="16"/>
      <c r="K7" s="16" t="s">
        <v>316</v>
      </c>
      <c r="L7" s="16"/>
      <c r="M7" s="3" t="s">
        <v>90</v>
      </c>
      <c r="N7" s="3" t="s">
        <v>90</v>
      </c>
      <c r="O7" s="16"/>
      <c r="P7" s="16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12.75" customHeight="1">
      <c r="A8" s="16" t="s">
        <v>286</v>
      </c>
      <c r="B8" s="16" t="s">
        <v>315</v>
      </c>
      <c r="C8" s="3" t="s">
        <v>90</v>
      </c>
      <c r="D8" s="16"/>
      <c r="E8" s="3" t="s">
        <v>90</v>
      </c>
      <c r="F8" s="16" t="s">
        <v>314</v>
      </c>
      <c r="G8" s="16"/>
      <c r="H8" s="16"/>
      <c r="I8" s="16"/>
      <c r="J8" s="16" t="s">
        <v>314</v>
      </c>
      <c r="K8" s="16" t="s">
        <v>315</v>
      </c>
      <c r="L8" s="16"/>
      <c r="M8" s="3" t="s">
        <v>90</v>
      </c>
      <c r="N8" s="3" t="s">
        <v>90</v>
      </c>
      <c r="O8" s="16"/>
      <c r="P8" s="16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12.75" customHeight="1">
      <c r="A9" s="16" t="s">
        <v>296</v>
      </c>
      <c r="B9" s="16" t="s">
        <v>315</v>
      </c>
      <c r="C9" s="3" t="s">
        <v>90</v>
      </c>
      <c r="D9" s="16"/>
      <c r="E9" s="3" t="s">
        <v>90</v>
      </c>
      <c r="F9" s="16" t="s">
        <v>316</v>
      </c>
      <c r="G9" s="16"/>
      <c r="H9" s="16" t="s">
        <v>314</v>
      </c>
      <c r="I9" s="16" t="s">
        <v>314</v>
      </c>
      <c r="J9" s="16" t="s">
        <v>315</v>
      </c>
      <c r="K9" s="16"/>
      <c r="L9" s="16"/>
      <c r="M9" s="3" t="s">
        <v>90</v>
      </c>
      <c r="N9" s="3" t="s">
        <v>90</v>
      </c>
      <c r="O9" s="16" t="s">
        <v>316</v>
      </c>
      <c r="P9" s="16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12.75" customHeight="1">
      <c r="A10" s="16" t="s">
        <v>318</v>
      </c>
      <c r="B10" s="16"/>
      <c r="C10" s="3" t="s">
        <v>90</v>
      </c>
      <c r="D10" s="16" t="s">
        <v>314</v>
      </c>
      <c r="E10" s="3" t="s">
        <v>90</v>
      </c>
      <c r="F10" s="16" t="s">
        <v>315</v>
      </c>
      <c r="G10" s="16"/>
      <c r="H10" s="16" t="s">
        <v>316</v>
      </c>
      <c r="I10" s="16"/>
      <c r="J10" s="16" t="s">
        <v>316</v>
      </c>
      <c r="K10" s="16"/>
      <c r="L10" s="16"/>
      <c r="M10" s="3" t="s">
        <v>90</v>
      </c>
      <c r="N10" s="3" t="s">
        <v>90</v>
      </c>
      <c r="O10" s="16"/>
      <c r="P10" s="16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12.75" customHeight="1">
      <c r="A11" s="16">
        <v>-1.0</v>
      </c>
      <c r="B11" s="16" t="s">
        <v>315</v>
      </c>
      <c r="C11" s="3" t="s">
        <v>90</v>
      </c>
      <c r="D11" s="16" t="s">
        <v>316</v>
      </c>
      <c r="E11" s="3" t="s">
        <v>90</v>
      </c>
      <c r="F11" s="16" t="s">
        <v>314</v>
      </c>
      <c r="G11" s="16"/>
      <c r="H11" s="16"/>
      <c r="I11" s="16"/>
      <c r="J11" s="16"/>
      <c r="K11" s="16"/>
      <c r="L11" s="16"/>
      <c r="M11" s="3" t="s">
        <v>90</v>
      </c>
      <c r="N11" s="3" t="s">
        <v>90</v>
      </c>
      <c r="O11" s="16"/>
      <c r="P11" s="16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ht="12.75" customHeight="1">
      <c r="A12" s="16" t="s">
        <v>288</v>
      </c>
      <c r="B12" s="16" t="s">
        <v>314</v>
      </c>
      <c r="C12" s="3" t="s">
        <v>90</v>
      </c>
      <c r="D12" s="16" t="s">
        <v>315</v>
      </c>
      <c r="E12" s="3" t="s">
        <v>90</v>
      </c>
      <c r="F12" s="16" t="s">
        <v>316</v>
      </c>
      <c r="G12" s="16"/>
      <c r="H12" s="16"/>
      <c r="I12" s="16"/>
      <c r="J12" s="16"/>
      <c r="K12" s="16"/>
      <c r="L12" s="16"/>
      <c r="M12" s="3" t="s">
        <v>90</v>
      </c>
      <c r="N12" s="3" t="s">
        <v>90</v>
      </c>
      <c r="O12" s="16"/>
      <c r="P12" s="16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12.75" customHeight="1">
      <c r="A13" s="16" t="s">
        <v>319</v>
      </c>
      <c r="B13" s="16" t="s">
        <v>314</v>
      </c>
      <c r="C13" s="3" t="s">
        <v>90</v>
      </c>
      <c r="D13" s="16" t="s">
        <v>316</v>
      </c>
      <c r="E13" s="3" t="s">
        <v>90</v>
      </c>
      <c r="F13" s="16"/>
      <c r="G13" s="16" t="s">
        <v>315</v>
      </c>
      <c r="H13" s="16"/>
      <c r="I13" s="16"/>
      <c r="J13" s="16"/>
      <c r="K13" s="16"/>
      <c r="L13" s="16"/>
      <c r="M13" s="3" t="s">
        <v>90</v>
      </c>
      <c r="N13" s="3" t="s">
        <v>90</v>
      </c>
      <c r="O13" s="16"/>
      <c r="P13" s="16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12.75" customHeight="1">
      <c r="A14" s="16" t="s">
        <v>320</v>
      </c>
      <c r="B14" s="16" t="s">
        <v>315</v>
      </c>
      <c r="C14" s="3" t="s">
        <v>90</v>
      </c>
      <c r="D14" s="16"/>
      <c r="E14" s="3" t="s">
        <v>90</v>
      </c>
      <c r="F14" s="16"/>
      <c r="G14" s="16"/>
      <c r="H14" s="16" t="s">
        <v>314</v>
      </c>
      <c r="I14" s="16"/>
      <c r="J14" s="16" t="s">
        <v>314</v>
      </c>
      <c r="K14" s="16"/>
      <c r="L14" s="16" t="s">
        <v>316</v>
      </c>
      <c r="M14" s="3" t="s">
        <v>90</v>
      </c>
      <c r="N14" s="3" t="s">
        <v>90</v>
      </c>
      <c r="O14" s="16"/>
      <c r="P14" s="16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12.75" customHeight="1">
      <c r="A15" s="16" t="s">
        <v>321</v>
      </c>
      <c r="B15" s="16" t="s">
        <v>314</v>
      </c>
      <c r="C15" s="3" t="s">
        <v>90</v>
      </c>
      <c r="D15" s="16"/>
      <c r="E15" s="3" t="s">
        <v>90</v>
      </c>
      <c r="F15" s="16" t="s">
        <v>316</v>
      </c>
      <c r="G15" s="16"/>
      <c r="H15" s="16"/>
      <c r="I15" s="16"/>
      <c r="J15" s="16"/>
      <c r="K15" s="16"/>
      <c r="L15" s="16"/>
      <c r="M15" s="3" t="s">
        <v>90</v>
      </c>
      <c r="N15" s="3" t="s">
        <v>90</v>
      </c>
      <c r="O15" s="16"/>
      <c r="P15" s="16" t="s">
        <v>315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12.75" customHeight="1">
      <c r="A16" s="16" t="s">
        <v>322</v>
      </c>
      <c r="B16" s="16" t="s">
        <v>315</v>
      </c>
      <c r="C16" s="3" t="s">
        <v>90</v>
      </c>
      <c r="D16" s="16"/>
      <c r="E16" s="3" t="s">
        <v>90</v>
      </c>
      <c r="F16" s="16"/>
      <c r="G16" s="16" t="s">
        <v>316</v>
      </c>
      <c r="H16" s="16"/>
      <c r="I16" s="16"/>
      <c r="J16" s="16" t="s">
        <v>314</v>
      </c>
      <c r="K16" s="16"/>
      <c r="L16" s="16"/>
      <c r="M16" s="3" t="s">
        <v>90</v>
      </c>
      <c r="N16" s="3" t="s">
        <v>90</v>
      </c>
      <c r="O16" s="16"/>
      <c r="P16" s="16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2.75" customHeight="1">
      <c r="A17" s="16" t="s">
        <v>318</v>
      </c>
      <c r="B17" s="16" t="s">
        <v>316</v>
      </c>
      <c r="C17" s="3" t="s">
        <v>90</v>
      </c>
      <c r="D17" s="16" t="s">
        <v>314</v>
      </c>
      <c r="E17" s="3" t="s">
        <v>90</v>
      </c>
      <c r="F17" s="16" t="s">
        <v>315</v>
      </c>
      <c r="G17" s="16"/>
      <c r="H17" s="16"/>
      <c r="I17" s="16"/>
      <c r="J17" s="16"/>
      <c r="K17" s="16"/>
      <c r="L17" s="16"/>
      <c r="M17" s="3" t="s">
        <v>90</v>
      </c>
      <c r="N17" s="3" t="s">
        <v>90</v>
      </c>
      <c r="O17" s="16"/>
      <c r="P17" s="16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12.75" customHeight="1">
      <c r="A18" s="16" t="s">
        <v>323</v>
      </c>
      <c r="B18" s="16" t="s">
        <v>315</v>
      </c>
      <c r="C18" s="3" t="s">
        <v>90</v>
      </c>
      <c r="D18" s="16" t="s">
        <v>314</v>
      </c>
      <c r="E18" s="3" t="s">
        <v>90</v>
      </c>
      <c r="F18" s="16" t="s">
        <v>314</v>
      </c>
      <c r="G18" s="16"/>
      <c r="H18" s="16"/>
      <c r="I18" s="16"/>
      <c r="J18" s="16" t="s">
        <v>315</v>
      </c>
      <c r="K18" s="16"/>
      <c r="L18" s="16"/>
      <c r="M18" s="3" t="s">
        <v>90</v>
      </c>
      <c r="N18" s="3" t="s">
        <v>90</v>
      </c>
      <c r="O18" s="16"/>
      <c r="P18" s="16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12.75" customHeight="1">
      <c r="A19" s="16" t="s">
        <v>324</v>
      </c>
      <c r="B19" s="16"/>
      <c r="C19" s="3" t="s">
        <v>90</v>
      </c>
      <c r="D19" s="16" t="s">
        <v>316</v>
      </c>
      <c r="E19" s="3" t="s">
        <v>90</v>
      </c>
      <c r="F19" s="16" t="s">
        <v>315</v>
      </c>
      <c r="G19" s="16"/>
      <c r="H19" s="16"/>
      <c r="I19" s="16"/>
      <c r="J19" s="16" t="s">
        <v>314</v>
      </c>
      <c r="K19" s="16"/>
      <c r="L19" s="16"/>
      <c r="M19" s="3" t="s">
        <v>90</v>
      </c>
      <c r="N19" s="3" t="s">
        <v>90</v>
      </c>
      <c r="O19" s="16"/>
      <c r="P19" s="16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12.75" customHeight="1">
      <c r="A20" s="16" t="s">
        <v>325</v>
      </c>
      <c r="B20" s="16" t="s">
        <v>316</v>
      </c>
      <c r="C20" s="3" t="s">
        <v>90</v>
      </c>
      <c r="D20" s="16"/>
      <c r="E20" s="3" t="s">
        <v>90</v>
      </c>
      <c r="F20" s="16"/>
      <c r="G20" s="16" t="s">
        <v>315</v>
      </c>
      <c r="H20" s="16"/>
      <c r="I20" s="16" t="s">
        <v>314</v>
      </c>
      <c r="J20" s="16"/>
      <c r="K20" s="16"/>
      <c r="L20" s="16"/>
      <c r="M20" s="3" t="s">
        <v>90</v>
      </c>
      <c r="N20" s="3" t="s">
        <v>90</v>
      </c>
      <c r="O20" s="16"/>
      <c r="P20" s="16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12.75" customHeight="1">
      <c r="A21" s="16" t="s">
        <v>320</v>
      </c>
      <c r="B21" s="16" t="s">
        <v>315</v>
      </c>
      <c r="C21" s="3" t="s">
        <v>90</v>
      </c>
      <c r="D21" s="16" t="s">
        <v>314</v>
      </c>
      <c r="E21" s="3" t="s">
        <v>90</v>
      </c>
      <c r="F21" s="16" t="s">
        <v>316</v>
      </c>
      <c r="G21" s="16"/>
      <c r="H21" s="16" t="s">
        <v>314</v>
      </c>
      <c r="I21" s="16"/>
      <c r="J21" s="16" t="s">
        <v>316</v>
      </c>
      <c r="K21" s="16"/>
      <c r="L21" s="16"/>
      <c r="M21" s="3" t="s">
        <v>90</v>
      </c>
      <c r="N21" s="3" t="s">
        <v>90</v>
      </c>
      <c r="O21" s="16"/>
      <c r="P21" s="16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12.75" customHeight="1">
      <c r="A22" s="16" t="s">
        <v>326</v>
      </c>
      <c r="B22" s="16" t="s">
        <v>314</v>
      </c>
      <c r="C22" s="3" t="s">
        <v>90</v>
      </c>
      <c r="D22" s="16"/>
      <c r="E22" s="3" t="s">
        <v>90</v>
      </c>
      <c r="F22" s="16"/>
      <c r="G22" s="16" t="s">
        <v>316</v>
      </c>
      <c r="H22" s="16"/>
      <c r="I22" s="16" t="s">
        <v>315</v>
      </c>
      <c r="J22" s="16"/>
      <c r="K22" s="16"/>
      <c r="L22" s="16"/>
      <c r="M22" s="3" t="s">
        <v>90</v>
      </c>
      <c r="N22" s="3" t="s">
        <v>90</v>
      </c>
      <c r="O22" s="16"/>
      <c r="P22" s="16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12.75" customHeight="1">
      <c r="A23" s="16" t="s">
        <v>286</v>
      </c>
      <c r="B23" s="16" t="s">
        <v>315</v>
      </c>
      <c r="C23" s="3" t="s">
        <v>90</v>
      </c>
      <c r="D23" s="16"/>
      <c r="E23" s="3" t="s">
        <v>90</v>
      </c>
      <c r="F23" s="16" t="s">
        <v>314</v>
      </c>
      <c r="G23" s="16"/>
      <c r="H23" s="16"/>
      <c r="I23" s="16"/>
      <c r="J23" s="16" t="s">
        <v>315</v>
      </c>
      <c r="K23" s="16"/>
      <c r="L23" s="16"/>
      <c r="M23" s="3" t="s">
        <v>90</v>
      </c>
      <c r="N23" s="3" t="s">
        <v>90</v>
      </c>
      <c r="O23" s="16"/>
      <c r="P23" s="16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12.75" customHeight="1">
      <c r="A24" s="16" t="s">
        <v>327</v>
      </c>
      <c r="B24" s="16" t="s">
        <v>314</v>
      </c>
      <c r="C24" s="3" t="s">
        <v>90</v>
      </c>
      <c r="D24" s="16"/>
      <c r="E24" s="3" t="s">
        <v>90</v>
      </c>
      <c r="F24" s="16" t="s">
        <v>315</v>
      </c>
      <c r="G24" s="16" t="s">
        <v>315</v>
      </c>
      <c r="H24" s="16" t="s">
        <v>315</v>
      </c>
      <c r="I24" s="16" t="s">
        <v>314</v>
      </c>
      <c r="J24" s="16" t="s">
        <v>314</v>
      </c>
      <c r="K24" s="16"/>
      <c r="L24" s="16"/>
      <c r="M24" s="3" t="s">
        <v>90</v>
      </c>
      <c r="N24" s="3" t="s">
        <v>90</v>
      </c>
      <c r="O24" s="16"/>
      <c r="P24" s="16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12.75" customHeight="1">
      <c r="A25" s="16" t="s">
        <v>295</v>
      </c>
      <c r="B25" s="16"/>
      <c r="C25" s="3" t="s">
        <v>90</v>
      </c>
      <c r="D25" s="16"/>
      <c r="E25" s="3" t="s">
        <v>90</v>
      </c>
      <c r="F25" s="16" t="s">
        <v>314</v>
      </c>
      <c r="G25" s="16"/>
      <c r="H25" s="16"/>
      <c r="I25" s="16" t="s">
        <v>315</v>
      </c>
      <c r="J25" s="16"/>
      <c r="K25" s="16"/>
      <c r="L25" s="16" t="s">
        <v>316</v>
      </c>
      <c r="M25" s="3" t="s">
        <v>90</v>
      </c>
      <c r="N25" s="3" t="s">
        <v>90</v>
      </c>
      <c r="O25" s="16"/>
      <c r="P25" s="16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12.75" customHeight="1">
      <c r="A26" s="16" t="s">
        <v>328</v>
      </c>
      <c r="B26" s="16" t="s">
        <v>314</v>
      </c>
      <c r="C26" s="3" t="s">
        <v>90</v>
      </c>
      <c r="D26" s="16"/>
      <c r="E26" s="3" t="s">
        <v>90</v>
      </c>
      <c r="F26" s="16" t="s">
        <v>315</v>
      </c>
      <c r="G26" s="16" t="s">
        <v>314</v>
      </c>
      <c r="H26" s="16" t="s">
        <v>315</v>
      </c>
      <c r="I26" s="16" t="s">
        <v>314</v>
      </c>
      <c r="J26" s="16" t="s">
        <v>315</v>
      </c>
      <c r="K26" s="16"/>
      <c r="L26" s="16" t="s">
        <v>315</v>
      </c>
      <c r="M26" s="3" t="s">
        <v>90</v>
      </c>
      <c r="N26" s="3" t="s">
        <v>90</v>
      </c>
      <c r="O26" s="16"/>
      <c r="P26" s="16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2.75" customHeight="1">
      <c r="A27" s="16" t="s">
        <v>329</v>
      </c>
      <c r="B27" s="16"/>
      <c r="C27" s="3" t="s">
        <v>90</v>
      </c>
      <c r="D27" s="16"/>
      <c r="E27" s="3" t="s">
        <v>90</v>
      </c>
      <c r="F27" s="16" t="s">
        <v>314</v>
      </c>
      <c r="G27" s="16"/>
      <c r="H27" s="16" t="s">
        <v>315</v>
      </c>
      <c r="I27" s="16" t="s">
        <v>316</v>
      </c>
      <c r="J27" s="16"/>
      <c r="K27" s="16"/>
      <c r="L27" s="16"/>
      <c r="M27" s="3" t="s">
        <v>90</v>
      </c>
      <c r="N27" s="3" t="s">
        <v>90</v>
      </c>
      <c r="O27" s="16"/>
      <c r="P27" s="16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2.75" customHeight="1">
      <c r="A28" s="16" t="s">
        <v>289</v>
      </c>
      <c r="B28" s="16" t="s">
        <v>315</v>
      </c>
      <c r="C28" s="3" t="s">
        <v>90</v>
      </c>
      <c r="D28" s="16" t="s">
        <v>316</v>
      </c>
      <c r="E28" s="3" t="s">
        <v>90</v>
      </c>
      <c r="F28" s="16" t="s">
        <v>314</v>
      </c>
      <c r="G28" s="16"/>
      <c r="H28" s="16" t="s">
        <v>316</v>
      </c>
      <c r="I28" s="16"/>
      <c r="J28" s="16"/>
      <c r="K28" s="16"/>
      <c r="L28" s="16"/>
      <c r="M28" s="3" t="s">
        <v>90</v>
      </c>
      <c r="N28" s="3" t="s">
        <v>90</v>
      </c>
      <c r="O28" s="16"/>
      <c r="P28" s="16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12.75" customHeight="1">
      <c r="A29" s="16" t="s">
        <v>323</v>
      </c>
      <c r="B29" s="16"/>
      <c r="C29" s="3" t="s">
        <v>90</v>
      </c>
      <c r="D29" s="16" t="s">
        <v>314</v>
      </c>
      <c r="E29" s="3" t="s">
        <v>90</v>
      </c>
      <c r="F29" s="16" t="s">
        <v>316</v>
      </c>
      <c r="G29" s="16"/>
      <c r="H29" s="16" t="s">
        <v>314</v>
      </c>
      <c r="I29" s="16" t="s">
        <v>315</v>
      </c>
      <c r="J29" s="16" t="s">
        <v>316</v>
      </c>
      <c r="K29" s="16"/>
      <c r="L29" s="16"/>
      <c r="M29" s="3" t="s">
        <v>90</v>
      </c>
      <c r="N29" s="3" t="s">
        <v>90</v>
      </c>
      <c r="O29" s="16"/>
      <c r="P29" s="16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12.75" customHeight="1">
      <c r="A30" s="16" t="s">
        <v>330</v>
      </c>
      <c r="B30" s="16"/>
      <c r="C30" s="3" t="s">
        <v>90</v>
      </c>
      <c r="D30" s="16" t="s">
        <v>316</v>
      </c>
      <c r="E30" s="3" t="s">
        <v>90</v>
      </c>
      <c r="F30" s="16" t="s">
        <v>315</v>
      </c>
      <c r="G30" s="16"/>
      <c r="H30" s="16"/>
      <c r="I30" s="16" t="s">
        <v>316</v>
      </c>
      <c r="J30" s="16" t="s">
        <v>316</v>
      </c>
      <c r="K30" s="16"/>
      <c r="L30" s="16" t="s">
        <v>314</v>
      </c>
      <c r="M30" s="3" t="s">
        <v>90</v>
      </c>
      <c r="N30" s="3" t="s">
        <v>90</v>
      </c>
      <c r="O30" s="16"/>
      <c r="P30" s="16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12.75" customHeight="1">
      <c r="A31" s="16" t="s">
        <v>331</v>
      </c>
      <c r="B31" s="16" t="s">
        <v>315</v>
      </c>
      <c r="C31" s="3" t="s">
        <v>90</v>
      </c>
      <c r="D31" s="16" t="s">
        <v>316</v>
      </c>
      <c r="E31" s="3" t="s">
        <v>90</v>
      </c>
      <c r="F31" s="16" t="s">
        <v>314</v>
      </c>
      <c r="G31" s="16"/>
      <c r="H31" s="16" t="s">
        <v>315</v>
      </c>
      <c r="I31" s="16" t="s">
        <v>314</v>
      </c>
      <c r="J31" s="16" t="s">
        <v>314</v>
      </c>
      <c r="K31" s="16"/>
      <c r="L31" s="16" t="s">
        <v>315</v>
      </c>
      <c r="M31" s="3" t="s">
        <v>90</v>
      </c>
      <c r="N31" s="3" t="s">
        <v>90</v>
      </c>
      <c r="O31" s="16"/>
      <c r="P31" s="16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12.75" customHeight="1">
      <c r="A32" s="16" t="s">
        <v>288</v>
      </c>
      <c r="B32" s="16" t="s">
        <v>315</v>
      </c>
      <c r="C32" s="3" t="s">
        <v>90</v>
      </c>
      <c r="D32" s="16" t="s">
        <v>316</v>
      </c>
      <c r="E32" s="3" t="s">
        <v>90</v>
      </c>
      <c r="F32" s="16"/>
      <c r="G32" s="16" t="s">
        <v>316</v>
      </c>
      <c r="H32" s="16" t="s">
        <v>316</v>
      </c>
      <c r="I32" s="16"/>
      <c r="J32" s="16" t="s">
        <v>314</v>
      </c>
      <c r="K32" s="16"/>
      <c r="L32" s="16"/>
      <c r="M32" s="3" t="s">
        <v>90</v>
      </c>
      <c r="N32" s="3" t="s">
        <v>90</v>
      </c>
      <c r="O32" s="16"/>
      <c r="P32" s="16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12.75" customHeight="1">
      <c r="A33" s="16" t="s">
        <v>332</v>
      </c>
      <c r="B33" s="16" t="s">
        <v>314</v>
      </c>
      <c r="C33" s="3" t="s">
        <v>90</v>
      </c>
      <c r="D33" s="16" t="s">
        <v>316</v>
      </c>
      <c r="E33" s="3" t="s">
        <v>90</v>
      </c>
      <c r="F33" s="16"/>
      <c r="G33" s="16"/>
      <c r="H33" s="16"/>
      <c r="I33" s="16" t="s">
        <v>315</v>
      </c>
      <c r="J33" s="16"/>
      <c r="K33" s="16"/>
      <c r="L33" s="16"/>
      <c r="M33" s="3" t="s">
        <v>90</v>
      </c>
      <c r="N33" s="3" t="s">
        <v>90</v>
      </c>
      <c r="O33" s="16"/>
      <c r="P33" s="16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2.75" customHeight="1">
      <c r="A34" s="16" t="s">
        <v>333</v>
      </c>
      <c r="B34" s="16" t="s">
        <v>314</v>
      </c>
      <c r="C34" s="3" t="s">
        <v>90</v>
      </c>
      <c r="D34" s="16" t="s">
        <v>315</v>
      </c>
      <c r="E34" s="3" t="s">
        <v>90</v>
      </c>
      <c r="F34" s="16"/>
      <c r="G34" s="16"/>
      <c r="H34" s="16"/>
      <c r="I34" s="16" t="s">
        <v>316</v>
      </c>
      <c r="J34" s="16"/>
      <c r="K34" s="16"/>
      <c r="L34" s="16"/>
      <c r="M34" s="3" t="s">
        <v>90</v>
      </c>
      <c r="N34" s="3" t="s">
        <v>90</v>
      </c>
      <c r="O34" s="16"/>
      <c r="P34" s="16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2.75" customHeight="1">
      <c r="A35" s="16" t="s">
        <v>334</v>
      </c>
      <c r="B35" s="16" t="s">
        <v>314</v>
      </c>
      <c r="C35" s="3" t="s">
        <v>90</v>
      </c>
      <c r="D35" s="16" t="s">
        <v>315</v>
      </c>
      <c r="E35" s="3" t="s">
        <v>90</v>
      </c>
      <c r="F35" s="16"/>
      <c r="G35" s="16"/>
      <c r="H35" s="16"/>
      <c r="I35" s="16" t="s">
        <v>316</v>
      </c>
      <c r="J35" s="16"/>
      <c r="K35" s="16"/>
      <c r="L35" s="16"/>
      <c r="M35" s="3" t="s">
        <v>90</v>
      </c>
      <c r="N35" s="3" t="s">
        <v>90</v>
      </c>
      <c r="O35" s="16"/>
      <c r="P35" s="16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2.75" customHeight="1">
      <c r="A36" s="16" t="s">
        <v>335</v>
      </c>
      <c r="B36" s="16"/>
      <c r="C36" s="3" t="s">
        <v>90</v>
      </c>
      <c r="D36" s="16" t="s">
        <v>314</v>
      </c>
      <c r="E36" s="3" t="s">
        <v>90</v>
      </c>
      <c r="F36" s="16" t="s">
        <v>315</v>
      </c>
      <c r="G36" s="16"/>
      <c r="H36" s="16"/>
      <c r="I36" s="16" t="s">
        <v>316</v>
      </c>
      <c r="J36" s="16"/>
      <c r="K36" s="16"/>
      <c r="L36" s="16"/>
      <c r="M36" s="3" t="s">
        <v>90</v>
      </c>
      <c r="N36" s="3" t="s">
        <v>90</v>
      </c>
      <c r="O36" s="16"/>
      <c r="P36" s="16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2.75" customHeight="1">
      <c r="A37" s="16" t="s">
        <v>289</v>
      </c>
      <c r="B37" s="16" t="s">
        <v>316</v>
      </c>
      <c r="C37" s="3" t="s">
        <v>90</v>
      </c>
      <c r="D37" s="16" t="s">
        <v>315</v>
      </c>
      <c r="E37" s="3" t="s">
        <v>90</v>
      </c>
      <c r="F37" s="16" t="s">
        <v>314</v>
      </c>
      <c r="G37" s="16"/>
      <c r="H37" s="16"/>
      <c r="I37" s="16"/>
      <c r="J37" s="16" t="s">
        <v>314</v>
      </c>
      <c r="K37" s="16"/>
      <c r="L37" s="16"/>
      <c r="M37" s="3" t="s">
        <v>90</v>
      </c>
      <c r="N37" s="3" t="s">
        <v>90</v>
      </c>
      <c r="O37" s="16"/>
      <c r="P37" s="16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2.75" customHeight="1">
      <c r="A38" s="16" t="s">
        <v>336</v>
      </c>
      <c r="B38" s="16" t="s">
        <v>315</v>
      </c>
      <c r="C38" s="3" t="s">
        <v>90</v>
      </c>
      <c r="D38" s="16" t="s">
        <v>314</v>
      </c>
      <c r="E38" s="3" t="s">
        <v>90</v>
      </c>
      <c r="F38" s="16" t="s">
        <v>314</v>
      </c>
      <c r="G38" s="16"/>
      <c r="H38" s="16" t="s">
        <v>315</v>
      </c>
      <c r="I38" s="16" t="s">
        <v>315</v>
      </c>
      <c r="J38" s="16" t="s">
        <v>314</v>
      </c>
      <c r="K38" s="16"/>
      <c r="L38" s="16"/>
      <c r="M38" s="3" t="s">
        <v>90</v>
      </c>
      <c r="N38" s="3" t="s">
        <v>90</v>
      </c>
      <c r="O38" s="16"/>
      <c r="P38" s="16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2.75" customHeight="1">
      <c r="A39" s="16">
        <v>-1.0</v>
      </c>
      <c r="B39" s="16" t="s">
        <v>314</v>
      </c>
      <c r="C39" s="3" t="s">
        <v>90</v>
      </c>
      <c r="D39" s="16"/>
      <c r="E39" s="3" t="s">
        <v>90</v>
      </c>
      <c r="F39" s="16" t="s">
        <v>315</v>
      </c>
      <c r="G39" s="16"/>
      <c r="H39" s="16"/>
      <c r="I39" s="16"/>
      <c r="J39" s="16"/>
      <c r="K39" s="16"/>
      <c r="L39" s="16"/>
      <c r="M39" s="3" t="s">
        <v>90</v>
      </c>
      <c r="N39" s="3" t="s">
        <v>90</v>
      </c>
      <c r="O39" s="16"/>
      <c r="P39" s="16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2.75" customHeight="1">
      <c r="A40" s="16" t="s">
        <v>337</v>
      </c>
      <c r="B40" s="16" t="s">
        <v>314</v>
      </c>
      <c r="C40" s="3" t="s">
        <v>90</v>
      </c>
      <c r="D40" s="16"/>
      <c r="E40" s="3" t="s">
        <v>90</v>
      </c>
      <c r="F40" s="16" t="s">
        <v>315</v>
      </c>
      <c r="G40" s="16"/>
      <c r="H40" s="16"/>
      <c r="I40" s="16"/>
      <c r="J40" s="16" t="s">
        <v>316</v>
      </c>
      <c r="K40" s="16"/>
      <c r="L40" s="16"/>
      <c r="M40" s="3" t="s">
        <v>90</v>
      </c>
      <c r="N40" s="3" t="s">
        <v>90</v>
      </c>
      <c r="O40" s="16"/>
      <c r="P40" s="16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2.75" customHeight="1">
      <c r="A41" s="16" t="s">
        <v>338</v>
      </c>
      <c r="B41" s="16"/>
      <c r="C41" s="3" t="s">
        <v>90</v>
      </c>
      <c r="D41" s="16"/>
      <c r="E41" s="3" t="s">
        <v>90</v>
      </c>
      <c r="F41" s="16" t="s">
        <v>314</v>
      </c>
      <c r="G41" s="16"/>
      <c r="H41" s="16" t="s">
        <v>315</v>
      </c>
      <c r="I41" s="16" t="s">
        <v>316</v>
      </c>
      <c r="J41" s="16"/>
      <c r="K41" s="16"/>
      <c r="L41" s="16"/>
      <c r="M41" s="3" t="s">
        <v>90</v>
      </c>
      <c r="N41" s="3" t="s">
        <v>90</v>
      </c>
      <c r="O41" s="16"/>
      <c r="P41" s="16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2.75" customHeight="1">
      <c r="A42" s="16" t="s">
        <v>339</v>
      </c>
      <c r="B42" s="16" t="s">
        <v>314</v>
      </c>
      <c r="C42" s="3" t="s">
        <v>90</v>
      </c>
      <c r="D42" s="16"/>
      <c r="E42" s="3" t="s">
        <v>90</v>
      </c>
      <c r="F42" s="16" t="s">
        <v>315</v>
      </c>
      <c r="G42" s="16"/>
      <c r="H42" s="16"/>
      <c r="I42" s="16" t="s">
        <v>314</v>
      </c>
      <c r="J42" s="16" t="s">
        <v>315</v>
      </c>
      <c r="K42" s="16"/>
      <c r="L42" s="16"/>
      <c r="M42" s="3" t="s">
        <v>90</v>
      </c>
      <c r="N42" s="3" t="s">
        <v>90</v>
      </c>
      <c r="O42" s="16"/>
      <c r="P42" s="16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2.75" customHeight="1">
      <c r="A43" s="16" t="s">
        <v>340</v>
      </c>
      <c r="B43" s="16"/>
      <c r="C43" s="3" t="s">
        <v>90</v>
      </c>
      <c r="D43" s="16"/>
      <c r="E43" s="3" t="s">
        <v>90</v>
      </c>
      <c r="F43" s="16" t="s">
        <v>314</v>
      </c>
      <c r="G43" s="16"/>
      <c r="H43" s="16"/>
      <c r="I43" s="16"/>
      <c r="J43" s="16" t="s">
        <v>315</v>
      </c>
      <c r="K43" s="16"/>
      <c r="L43" s="16"/>
      <c r="M43" s="3" t="s">
        <v>90</v>
      </c>
      <c r="N43" s="3" t="s">
        <v>90</v>
      </c>
      <c r="O43" s="16"/>
      <c r="P43" s="16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12.75" customHeight="1">
      <c r="A44" s="16" t="s">
        <v>289</v>
      </c>
      <c r="B44" s="16" t="s">
        <v>316</v>
      </c>
      <c r="C44" s="3" t="s">
        <v>90</v>
      </c>
      <c r="D44" s="16" t="s">
        <v>315</v>
      </c>
      <c r="E44" s="3" t="s">
        <v>90</v>
      </c>
      <c r="F44" s="16" t="s">
        <v>314</v>
      </c>
      <c r="G44" s="16"/>
      <c r="H44" s="16"/>
      <c r="I44" s="16"/>
      <c r="J44" s="16" t="s">
        <v>315</v>
      </c>
      <c r="K44" s="16"/>
      <c r="L44" s="16"/>
      <c r="M44" s="3" t="s">
        <v>90</v>
      </c>
      <c r="N44" s="3" t="s">
        <v>90</v>
      </c>
      <c r="O44" s="16"/>
      <c r="P44" s="16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12.75" customHeight="1">
      <c r="A45" s="16" t="s">
        <v>341</v>
      </c>
      <c r="B45" s="16" t="s">
        <v>316</v>
      </c>
      <c r="C45" s="3" t="s">
        <v>90</v>
      </c>
      <c r="D45" s="16" t="s">
        <v>314</v>
      </c>
      <c r="E45" s="3" t="s">
        <v>90</v>
      </c>
      <c r="F45" s="16" t="s">
        <v>315</v>
      </c>
      <c r="G45" s="16"/>
      <c r="H45" s="16" t="s">
        <v>314</v>
      </c>
      <c r="I45" s="16" t="s">
        <v>316</v>
      </c>
      <c r="J45" s="16" t="s">
        <v>315</v>
      </c>
      <c r="K45" s="16"/>
      <c r="L45" s="16"/>
      <c r="M45" s="3" t="s">
        <v>90</v>
      </c>
      <c r="N45" s="3" t="s">
        <v>90</v>
      </c>
      <c r="O45" s="16"/>
      <c r="P45" s="16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12.75" customHeight="1">
      <c r="A46" s="16" t="s">
        <v>91</v>
      </c>
      <c r="B46" s="16"/>
      <c r="C46" s="3" t="s">
        <v>90</v>
      </c>
      <c r="D46" s="16" t="s">
        <v>314</v>
      </c>
      <c r="E46" s="3" t="s">
        <v>90</v>
      </c>
      <c r="F46" s="16" t="s">
        <v>315</v>
      </c>
      <c r="G46" s="16"/>
      <c r="H46" s="16" t="s">
        <v>316</v>
      </c>
      <c r="I46" s="16"/>
      <c r="J46" s="16"/>
      <c r="K46" s="16"/>
      <c r="L46" s="16"/>
      <c r="M46" s="3" t="s">
        <v>90</v>
      </c>
      <c r="N46" s="3" t="s">
        <v>90</v>
      </c>
      <c r="O46" s="16"/>
      <c r="P46" s="16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12.75" customHeight="1">
      <c r="A47" s="16" t="s">
        <v>342</v>
      </c>
      <c r="B47" s="16"/>
      <c r="C47" s="3" t="s">
        <v>90</v>
      </c>
      <c r="D47" s="16" t="s">
        <v>314</v>
      </c>
      <c r="E47" s="3" t="s">
        <v>90</v>
      </c>
      <c r="F47" s="16" t="s">
        <v>315</v>
      </c>
      <c r="G47" s="16"/>
      <c r="H47" s="16" t="s">
        <v>315</v>
      </c>
      <c r="I47" s="16"/>
      <c r="J47" s="16"/>
      <c r="K47" s="16"/>
      <c r="L47" s="16"/>
      <c r="M47" s="3" t="s">
        <v>90</v>
      </c>
      <c r="N47" s="3" t="s">
        <v>90</v>
      </c>
      <c r="O47" s="16"/>
      <c r="P47" s="16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12.75" customHeight="1">
      <c r="A48" s="16"/>
      <c r="B48" s="16"/>
      <c r="C48" s="3"/>
      <c r="D48" s="16"/>
      <c r="E48" s="3"/>
      <c r="F48" s="16"/>
      <c r="G48" s="16"/>
      <c r="H48" s="16"/>
      <c r="I48" s="16"/>
      <c r="J48" s="16"/>
      <c r="K48" s="16"/>
      <c r="L48" s="16"/>
      <c r="M48" s="3"/>
      <c r="N48" s="3"/>
      <c r="O48" s="16"/>
      <c r="P48" s="16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12.75" hidden="1" customHeight="1">
      <c r="A49" s="16"/>
      <c r="B49" s="16"/>
      <c r="C49" s="3"/>
      <c r="D49" s="16"/>
      <c r="E49" s="3"/>
      <c r="F49" s="16"/>
      <c r="G49" s="16"/>
      <c r="H49" s="16"/>
      <c r="I49" s="16"/>
      <c r="J49" s="16"/>
      <c r="K49" s="16"/>
      <c r="L49" s="16"/>
      <c r="M49" s="3"/>
      <c r="N49" s="3"/>
      <c r="O49" s="16"/>
      <c r="P49" s="16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12.75" hidden="1" customHeight="1"/>
    <row r="51" ht="12.75" hidden="1" customHeight="1"/>
    <row r="52" ht="12.75" hidden="1" customHeight="1"/>
    <row r="53" ht="12.75" hidden="1" customHeight="1">
      <c r="A53" s="16"/>
      <c r="B53" s="16"/>
      <c r="C53" s="3"/>
      <c r="D53" s="16"/>
      <c r="E53" s="3"/>
      <c r="F53" s="16"/>
      <c r="G53" s="16"/>
      <c r="H53" s="16"/>
      <c r="I53" s="16"/>
      <c r="J53" s="16"/>
      <c r="K53" s="16"/>
      <c r="L53" s="16"/>
      <c r="M53" s="3"/>
      <c r="N53" s="3"/>
      <c r="O53" s="16"/>
      <c r="P53" s="16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12.75" hidden="1" customHeight="1">
      <c r="A54" s="16"/>
      <c r="B54" s="16"/>
      <c r="C54" s="3"/>
      <c r="D54" s="16"/>
      <c r="E54" s="3"/>
      <c r="F54" s="16"/>
      <c r="G54" s="16"/>
      <c r="H54" s="16"/>
      <c r="I54" s="16"/>
      <c r="J54" s="16"/>
      <c r="K54" s="16"/>
      <c r="L54" s="16"/>
      <c r="M54" s="3"/>
      <c r="N54" s="3"/>
      <c r="O54" s="16"/>
      <c r="P54" s="16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12.75" hidden="1" customHeight="1">
      <c r="A55" s="16"/>
      <c r="B55" s="16"/>
      <c r="C55" s="3"/>
      <c r="D55" s="16"/>
      <c r="E55" s="3"/>
      <c r="F55" s="16"/>
      <c r="G55" s="16"/>
      <c r="H55" s="16"/>
      <c r="I55" s="16"/>
      <c r="J55" s="16"/>
      <c r="K55" s="16"/>
      <c r="L55" s="16"/>
      <c r="M55" s="3"/>
      <c r="N55" s="3"/>
      <c r="O55" s="16"/>
      <c r="P55" s="16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12.75" hidden="1" customHeight="1">
      <c r="A56" s="16"/>
      <c r="B56" s="16"/>
      <c r="C56" s="3"/>
      <c r="D56" s="16"/>
      <c r="E56" s="3"/>
      <c r="F56" s="16"/>
      <c r="G56" s="16"/>
      <c r="H56" s="16"/>
      <c r="I56" s="16"/>
      <c r="J56" s="16"/>
      <c r="K56" s="16"/>
      <c r="L56" s="16"/>
      <c r="M56" s="3"/>
      <c r="N56" s="3"/>
      <c r="O56" s="16"/>
      <c r="P56" s="16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12.75" hidden="1" customHeight="1">
      <c r="A57" s="16"/>
      <c r="B57" s="16"/>
      <c r="C57" s="3"/>
      <c r="D57" s="16"/>
      <c r="E57" s="3"/>
      <c r="F57" s="16"/>
      <c r="G57" s="16"/>
      <c r="H57" s="16"/>
      <c r="I57" s="16"/>
      <c r="J57" s="16"/>
      <c r="K57" s="16"/>
      <c r="L57" s="16"/>
      <c r="M57" s="3"/>
      <c r="N57" s="3"/>
      <c r="O57" s="16"/>
      <c r="P57" s="16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12.75" hidden="1" customHeight="1">
      <c r="A58" s="16"/>
      <c r="B58" s="16"/>
      <c r="C58" s="3"/>
      <c r="D58" s="16"/>
      <c r="E58" s="3"/>
      <c r="F58" s="16"/>
      <c r="G58" s="16"/>
      <c r="H58" s="16"/>
      <c r="I58" s="16"/>
      <c r="J58" s="16"/>
      <c r="K58" s="16"/>
      <c r="L58" s="16"/>
      <c r="M58" s="3"/>
      <c r="N58" s="3"/>
      <c r="O58" s="16"/>
      <c r="P58" s="16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12.75" hidden="1" customHeight="1">
      <c r="A59" s="16"/>
      <c r="B59" s="16"/>
      <c r="C59" s="3"/>
      <c r="D59" s="16"/>
      <c r="E59" s="3"/>
      <c r="F59" s="16"/>
      <c r="G59" s="16"/>
      <c r="H59" s="16"/>
      <c r="I59" s="16"/>
      <c r="J59" s="16"/>
      <c r="K59" s="16"/>
      <c r="L59" s="16"/>
      <c r="M59" s="3"/>
      <c r="N59" s="3"/>
      <c r="O59" s="16"/>
      <c r="P59" s="16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12.75" hidden="1" customHeight="1">
      <c r="A60" s="16"/>
      <c r="B60" s="16"/>
      <c r="C60" s="3"/>
      <c r="D60" s="16"/>
      <c r="E60" s="3"/>
      <c r="F60" s="16"/>
      <c r="G60" s="16"/>
      <c r="H60" s="16"/>
      <c r="I60" s="16"/>
      <c r="J60" s="16"/>
      <c r="K60" s="16"/>
      <c r="L60" s="16"/>
      <c r="M60" s="3"/>
      <c r="N60" s="3"/>
      <c r="O60" s="16"/>
      <c r="P60" s="16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12.75" hidden="1" customHeight="1">
      <c r="A61" s="16"/>
      <c r="B61" s="16"/>
      <c r="C61" s="3"/>
      <c r="D61" s="16"/>
      <c r="E61" s="3"/>
      <c r="F61" s="16"/>
      <c r="G61" s="16"/>
      <c r="H61" s="16"/>
      <c r="I61" s="16"/>
      <c r="J61" s="16"/>
      <c r="K61" s="16"/>
      <c r="L61" s="16"/>
      <c r="M61" s="3"/>
      <c r="N61" s="3"/>
      <c r="O61" s="16"/>
      <c r="P61" s="16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12.75" hidden="1" customHeight="1">
      <c r="A62" s="16"/>
      <c r="B62" s="16"/>
      <c r="C62" s="3"/>
      <c r="D62" s="16"/>
      <c r="E62" s="3"/>
      <c r="F62" s="16"/>
      <c r="G62" s="16"/>
      <c r="H62" s="16"/>
      <c r="I62" s="16"/>
      <c r="J62" s="16"/>
      <c r="K62" s="16"/>
      <c r="L62" s="16"/>
      <c r="M62" s="3"/>
      <c r="N62" s="3"/>
      <c r="O62" s="16"/>
      <c r="P62" s="16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12.75" hidden="1" customHeight="1">
      <c r="A63" s="16"/>
      <c r="B63" s="16"/>
      <c r="C63" s="3"/>
      <c r="D63" s="16"/>
      <c r="E63" s="3"/>
      <c r="F63" s="16"/>
      <c r="G63" s="16"/>
      <c r="H63" s="16"/>
      <c r="I63" s="16"/>
      <c r="J63" s="16"/>
      <c r="K63" s="16"/>
      <c r="L63" s="16"/>
      <c r="M63" s="3"/>
      <c r="N63" s="3"/>
      <c r="O63" s="16"/>
      <c r="P63" s="16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12.75" hidden="1" customHeight="1">
      <c r="A64" s="16"/>
      <c r="B64" s="16"/>
      <c r="C64" s="3"/>
      <c r="D64" s="16"/>
      <c r="E64" s="3"/>
      <c r="F64" s="16"/>
      <c r="G64" s="16"/>
      <c r="H64" s="16"/>
      <c r="I64" s="16"/>
      <c r="J64" s="16"/>
      <c r="K64" s="16"/>
      <c r="L64" s="16"/>
      <c r="M64" s="3"/>
      <c r="N64" s="3"/>
      <c r="O64" s="16"/>
      <c r="P64" s="16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12.75" hidden="1" customHeight="1">
      <c r="A65" s="16"/>
      <c r="B65" s="16"/>
      <c r="C65" s="3"/>
      <c r="D65" s="16"/>
      <c r="E65" s="3"/>
      <c r="F65" s="16"/>
      <c r="G65" s="16"/>
      <c r="H65" s="16"/>
      <c r="I65" s="16"/>
      <c r="J65" s="16"/>
      <c r="K65" s="16"/>
      <c r="L65" s="16"/>
      <c r="M65" s="3"/>
      <c r="N65" s="3"/>
      <c r="O65" s="16"/>
      <c r="P65" s="16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12.75" hidden="1" customHeight="1">
      <c r="A66" s="16"/>
      <c r="B66" s="16"/>
      <c r="C66" s="3"/>
      <c r="D66" s="16"/>
      <c r="E66" s="3"/>
      <c r="F66" s="16"/>
      <c r="G66" s="16"/>
      <c r="H66" s="16"/>
      <c r="I66" s="16"/>
      <c r="J66" s="16"/>
      <c r="K66" s="16"/>
      <c r="L66" s="16"/>
      <c r="M66" s="3"/>
      <c r="N66" s="3"/>
      <c r="O66" s="16"/>
      <c r="P66" s="16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12.75" hidden="1" customHeight="1">
      <c r="A67" s="16"/>
      <c r="B67" s="16"/>
      <c r="C67" s="3"/>
      <c r="D67" s="16"/>
      <c r="E67" s="3"/>
      <c r="F67" s="16"/>
      <c r="G67" s="16"/>
      <c r="H67" s="16"/>
      <c r="I67" s="16"/>
      <c r="J67" s="16"/>
      <c r="K67" s="16"/>
      <c r="L67" s="16"/>
      <c r="M67" s="3"/>
      <c r="N67" s="3"/>
      <c r="O67" s="16"/>
      <c r="P67" s="16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12.75" hidden="1" customHeight="1">
      <c r="A68" s="16"/>
      <c r="B68" s="16"/>
      <c r="C68" s="3"/>
      <c r="D68" s="16"/>
      <c r="E68" s="3"/>
      <c r="F68" s="16"/>
      <c r="G68" s="16"/>
      <c r="H68" s="16"/>
      <c r="I68" s="16"/>
      <c r="J68" s="16"/>
      <c r="K68" s="16"/>
      <c r="L68" s="16"/>
      <c r="M68" s="3"/>
      <c r="N68" s="3"/>
      <c r="O68" s="16"/>
      <c r="P68" s="16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12.75" hidden="1" customHeight="1">
      <c r="A69" s="16"/>
      <c r="B69" s="16"/>
      <c r="C69" s="3"/>
      <c r="D69" s="16"/>
      <c r="E69" s="3"/>
      <c r="F69" s="16"/>
      <c r="G69" s="16"/>
      <c r="H69" s="16"/>
      <c r="I69" s="16"/>
      <c r="J69" s="16"/>
      <c r="K69" s="16"/>
      <c r="L69" s="16"/>
      <c r="M69" s="3"/>
      <c r="N69" s="3"/>
      <c r="O69" s="16"/>
      <c r="P69" s="16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12.75" hidden="1" customHeight="1">
      <c r="A70" s="16"/>
      <c r="B70" s="16"/>
      <c r="C70" s="3"/>
      <c r="D70" s="16"/>
      <c r="E70" s="3"/>
      <c r="F70" s="16"/>
      <c r="G70" s="16"/>
      <c r="H70" s="16"/>
      <c r="I70" s="16"/>
      <c r="J70" s="16"/>
      <c r="K70" s="16"/>
      <c r="L70" s="16"/>
      <c r="M70" s="3"/>
      <c r="N70" s="3"/>
      <c r="O70" s="16"/>
      <c r="P70" s="16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12.75" hidden="1" customHeight="1">
      <c r="A71" s="16"/>
      <c r="B71" s="16"/>
      <c r="C71" s="3"/>
      <c r="D71" s="16"/>
      <c r="E71" s="3"/>
      <c r="F71" s="16"/>
      <c r="G71" s="16"/>
      <c r="H71" s="16"/>
      <c r="I71" s="16"/>
      <c r="J71" s="16"/>
      <c r="K71" s="16"/>
      <c r="L71" s="16"/>
      <c r="M71" s="3"/>
      <c r="N71" s="3"/>
      <c r="O71" s="16"/>
      <c r="P71" s="16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12.75" hidden="1" customHeight="1">
      <c r="A72" s="16"/>
      <c r="B72" s="16"/>
      <c r="C72" s="3"/>
      <c r="D72" s="16"/>
      <c r="E72" s="3"/>
      <c r="F72" s="16"/>
      <c r="G72" s="16"/>
      <c r="H72" s="16"/>
      <c r="I72" s="16"/>
      <c r="J72" s="16"/>
      <c r="K72" s="16"/>
      <c r="L72" s="16"/>
      <c r="M72" s="3"/>
      <c r="N72" s="3"/>
      <c r="O72" s="16"/>
      <c r="P72" s="16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12.75" hidden="1" customHeight="1">
      <c r="A73" s="16"/>
      <c r="B73" s="16"/>
      <c r="C73" s="3"/>
      <c r="D73" s="16"/>
      <c r="E73" s="3"/>
      <c r="F73" s="16"/>
      <c r="G73" s="16"/>
      <c r="H73" s="16"/>
      <c r="I73" s="16"/>
      <c r="J73" s="16"/>
      <c r="K73" s="16"/>
      <c r="L73" s="16"/>
      <c r="M73" s="3"/>
      <c r="N73" s="3"/>
      <c r="O73" s="16"/>
      <c r="P73" s="16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12.75" hidden="1" customHeight="1">
      <c r="A74" s="16"/>
      <c r="B74" s="16"/>
      <c r="C74" s="3"/>
      <c r="D74" s="16"/>
      <c r="E74" s="3"/>
      <c r="F74" s="16"/>
      <c r="G74" s="16"/>
      <c r="H74" s="16"/>
      <c r="I74" s="16"/>
      <c r="J74" s="16"/>
      <c r="K74" s="16"/>
      <c r="L74" s="16"/>
      <c r="M74" s="3"/>
      <c r="N74" s="3"/>
      <c r="O74" s="16"/>
      <c r="P74" s="16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12.75" hidden="1" customHeight="1">
      <c r="A75" s="16"/>
      <c r="B75" s="16"/>
      <c r="C75" s="3"/>
      <c r="D75" s="16"/>
      <c r="E75" s="3"/>
      <c r="F75" s="16"/>
      <c r="G75" s="16"/>
      <c r="H75" s="16"/>
      <c r="I75" s="16"/>
      <c r="J75" s="16"/>
      <c r="K75" s="16"/>
      <c r="L75" s="16"/>
      <c r="M75" s="3"/>
      <c r="N75" s="3"/>
      <c r="O75" s="16"/>
      <c r="P75" s="16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12.75" hidden="1" customHeight="1">
      <c r="A76" s="16"/>
      <c r="B76" s="16"/>
      <c r="C76" s="3"/>
      <c r="D76" s="16"/>
      <c r="E76" s="3"/>
      <c r="F76" s="16"/>
      <c r="G76" s="16"/>
      <c r="H76" s="16"/>
      <c r="I76" s="16"/>
      <c r="J76" s="16"/>
      <c r="K76" s="16"/>
      <c r="L76" s="16"/>
      <c r="M76" s="3"/>
      <c r="N76" s="3"/>
      <c r="O76" s="16"/>
      <c r="P76" s="16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12.75" hidden="1" customHeight="1">
      <c r="A77" s="16"/>
      <c r="B77" s="16"/>
      <c r="C77" s="3"/>
      <c r="D77" s="16"/>
      <c r="E77" s="3"/>
      <c r="F77" s="16"/>
      <c r="G77" s="16"/>
      <c r="H77" s="16"/>
      <c r="I77" s="16"/>
      <c r="J77" s="16"/>
      <c r="K77" s="16"/>
      <c r="L77" s="16"/>
      <c r="M77" s="3"/>
      <c r="N77" s="3"/>
      <c r="O77" s="16"/>
      <c r="P77" s="16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12.75" hidden="1" customHeight="1">
      <c r="A78" s="16"/>
      <c r="B78" s="16"/>
      <c r="C78" s="3"/>
      <c r="D78" s="16"/>
      <c r="E78" s="3"/>
      <c r="F78" s="16"/>
      <c r="G78" s="16"/>
      <c r="H78" s="16"/>
      <c r="I78" s="16"/>
      <c r="J78" s="16"/>
      <c r="K78" s="16"/>
      <c r="L78" s="16"/>
      <c r="M78" s="3"/>
      <c r="N78" s="3"/>
      <c r="O78" s="16"/>
      <c r="P78" s="16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12.75" hidden="1" customHeight="1">
      <c r="A79" s="16"/>
      <c r="B79" s="16"/>
      <c r="C79" s="3"/>
      <c r="D79" s="16"/>
      <c r="E79" s="3"/>
      <c r="F79" s="16"/>
      <c r="G79" s="16"/>
      <c r="H79" s="16"/>
      <c r="I79" s="16"/>
      <c r="J79" s="16"/>
      <c r="K79" s="16"/>
      <c r="L79" s="16"/>
      <c r="M79" s="3"/>
      <c r="N79" s="3"/>
      <c r="O79" s="16"/>
      <c r="P79" s="16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12.75" hidden="1" customHeight="1">
      <c r="A80" s="16"/>
      <c r="B80" s="16"/>
      <c r="C80" s="3"/>
      <c r="D80" s="16"/>
      <c r="E80" s="3"/>
      <c r="F80" s="16"/>
      <c r="G80" s="16"/>
      <c r="H80" s="16"/>
      <c r="I80" s="16"/>
      <c r="J80" s="16"/>
      <c r="K80" s="16"/>
      <c r="L80" s="16"/>
      <c r="M80" s="3"/>
      <c r="N80" s="3"/>
      <c r="O80" s="16"/>
      <c r="P80" s="16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12.75" hidden="1" customHeight="1">
      <c r="A81" s="16"/>
      <c r="B81" s="16"/>
      <c r="C81" s="3"/>
      <c r="D81" s="16"/>
      <c r="E81" s="3"/>
      <c r="F81" s="16"/>
      <c r="G81" s="16"/>
      <c r="H81" s="16"/>
      <c r="I81" s="16"/>
      <c r="J81" s="16"/>
      <c r="K81" s="16"/>
      <c r="L81" s="16"/>
      <c r="M81" s="3"/>
      <c r="N81" s="3"/>
      <c r="O81" s="16"/>
      <c r="P81" s="16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12.75" hidden="1" customHeight="1">
      <c r="A82" s="16"/>
      <c r="B82" s="16"/>
      <c r="C82" s="3"/>
      <c r="D82" s="16"/>
      <c r="E82" s="3"/>
      <c r="F82" s="16"/>
      <c r="G82" s="16"/>
      <c r="H82" s="16"/>
      <c r="I82" s="16"/>
      <c r="J82" s="16"/>
      <c r="K82" s="16"/>
      <c r="L82" s="16"/>
      <c r="M82" s="3"/>
      <c r="N82" s="3"/>
      <c r="O82" s="16"/>
      <c r="P82" s="16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12.75" hidden="1" customHeight="1">
      <c r="A83" s="16"/>
      <c r="B83" s="16"/>
      <c r="C83" s="3"/>
      <c r="D83" s="16"/>
      <c r="E83" s="3"/>
      <c r="F83" s="16"/>
      <c r="G83" s="16"/>
      <c r="H83" s="16"/>
      <c r="I83" s="16"/>
      <c r="J83" s="16"/>
      <c r="K83" s="16"/>
      <c r="L83" s="16"/>
      <c r="M83" s="3"/>
      <c r="N83" s="3"/>
      <c r="O83" s="16"/>
      <c r="P83" s="16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12.75" hidden="1" customHeight="1">
      <c r="A84" s="16"/>
      <c r="B84" s="16"/>
      <c r="C84" s="3"/>
      <c r="D84" s="16"/>
      <c r="E84" s="3"/>
      <c r="F84" s="16"/>
      <c r="G84" s="16"/>
      <c r="H84" s="16"/>
      <c r="I84" s="16"/>
      <c r="J84" s="16"/>
      <c r="K84" s="16"/>
      <c r="L84" s="16"/>
      <c r="M84" s="3"/>
      <c r="N84" s="3"/>
      <c r="O84" s="16"/>
      <c r="P84" s="16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12.75" hidden="1" customHeight="1">
      <c r="A85" s="16"/>
      <c r="B85" s="16"/>
      <c r="C85" s="3"/>
      <c r="D85" s="16"/>
      <c r="E85" s="3"/>
      <c r="F85" s="16"/>
      <c r="G85" s="16"/>
      <c r="H85" s="16"/>
      <c r="I85" s="16"/>
      <c r="J85" s="16"/>
      <c r="K85" s="16"/>
      <c r="L85" s="16"/>
      <c r="M85" s="3"/>
      <c r="N85" s="3"/>
      <c r="O85" s="16"/>
      <c r="P85" s="16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12.75" hidden="1" customHeight="1">
      <c r="A86" s="16"/>
      <c r="B86" s="16"/>
      <c r="C86" s="3"/>
      <c r="D86" s="16"/>
      <c r="E86" s="3"/>
      <c r="F86" s="16"/>
      <c r="G86" s="16"/>
      <c r="H86" s="16"/>
      <c r="I86" s="16"/>
      <c r="J86" s="16"/>
      <c r="K86" s="16"/>
      <c r="L86" s="16"/>
      <c r="M86" s="3"/>
      <c r="N86" s="3"/>
      <c r="O86" s="16"/>
      <c r="P86" s="16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12.75" hidden="1" customHeight="1">
      <c r="A87" s="16"/>
      <c r="B87" s="16"/>
      <c r="C87" s="3"/>
      <c r="D87" s="16"/>
      <c r="E87" s="3"/>
      <c r="F87" s="16"/>
      <c r="G87" s="16"/>
      <c r="H87" s="16"/>
      <c r="I87" s="16"/>
      <c r="J87" s="16"/>
      <c r="K87" s="16"/>
      <c r="L87" s="16"/>
      <c r="M87" s="3"/>
      <c r="N87" s="3"/>
      <c r="O87" s="16"/>
      <c r="P87" s="16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12.75" hidden="1" customHeight="1">
      <c r="A88" s="16"/>
      <c r="B88" s="16"/>
      <c r="C88" s="3"/>
      <c r="D88" s="16"/>
      <c r="E88" s="3"/>
      <c r="F88" s="16"/>
      <c r="G88" s="16"/>
      <c r="H88" s="16"/>
      <c r="I88" s="16"/>
      <c r="J88" s="16"/>
      <c r="K88" s="16"/>
      <c r="L88" s="16"/>
      <c r="M88" s="3"/>
      <c r="N88" s="3"/>
      <c r="O88" s="16"/>
      <c r="P88" s="16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12.75" hidden="1" customHeight="1">
      <c r="A89" s="16"/>
      <c r="B89" s="16"/>
      <c r="C89" s="3"/>
      <c r="D89" s="16"/>
      <c r="E89" s="3"/>
      <c r="F89" s="16"/>
      <c r="G89" s="16"/>
      <c r="H89" s="16"/>
      <c r="I89" s="16"/>
      <c r="J89" s="16"/>
      <c r="K89" s="16"/>
      <c r="L89" s="16"/>
      <c r="M89" s="3"/>
      <c r="N89" s="3"/>
      <c r="O89" s="16"/>
      <c r="P89" s="16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12.75" hidden="1" customHeight="1">
      <c r="A90" s="16"/>
      <c r="B90" s="16"/>
      <c r="C90" s="3"/>
      <c r="D90" s="16"/>
      <c r="E90" s="3"/>
      <c r="F90" s="16"/>
      <c r="G90" s="16"/>
      <c r="H90" s="16"/>
      <c r="I90" s="16"/>
      <c r="J90" s="16"/>
      <c r="K90" s="16"/>
      <c r="L90" s="16"/>
      <c r="M90" s="3"/>
      <c r="N90" s="3"/>
      <c r="O90" s="16"/>
      <c r="P90" s="16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12.75" hidden="1" customHeight="1">
      <c r="A91" s="16"/>
      <c r="B91" s="16"/>
      <c r="C91" s="3"/>
      <c r="D91" s="16"/>
      <c r="E91" s="3"/>
      <c r="F91" s="16"/>
      <c r="G91" s="16"/>
      <c r="H91" s="16"/>
      <c r="I91" s="16"/>
      <c r="J91" s="16"/>
      <c r="K91" s="16"/>
      <c r="L91" s="16"/>
      <c r="M91" s="3"/>
      <c r="N91" s="3"/>
      <c r="O91" s="16"/>
      <c r="P91" s="16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12.75" hidden="1" customHeight="1">
      <c r="A92" s="16"/>
      <c r="B92" s="16"/>
      <c r="C92" s="3"/>
      <c r="D92" s="16"/>
      <c r="E92" s="3"/>
      <c r="F92" s="16"/>
      <c r="G92" s="16"/>
      <c r="H92" s="16"/>
      <c r="I92" s="16"/>
      <c r="J92" s="16"/>
      <c r="K92" s="16"/>
      <c r="L92" s="16"/>
      <c r="M92" s="3"/>
      <c r="N92" s="3"/>
      <c r="O92" s="16"/>
      <c r="P92" s="16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12.75" hidden="1" customHeight="1">
      <c r="A93" s="16"/>
      <c r="B93" s="16"/>
      <c r="C93" s="3"/>
      <c r="D93" s="16"/>
      <c r="E93" s="3"/>
      <c r="F93" s="16"/>
      <c r="G93" s="16"/>
      <c r="H93" s="16"/>
      <c r="I93" s="16"/>
      <c r="J93" s="16"/>
      <c r="K93" s="16"/>
      <c r="L93" s="16"/>
      <c r="M93" s="3"/>
      <c r="N93" s="3"/>
      <c r="O93" s="16"/>
      <c r="P93" s="16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12.75" hidden="1" customHeight="1">
      <c r="A94" s="16"/>
      <c r="B94" s="16"/>
      <c r="C94" s="3"/>
      <c r="D94" s="16"/>
      <c r="E94" s="3"/>
      <c r="F94" s="16"/>
      <c r="G94" s="16"/>
      <c r="H94" s="16"/>
      <c r="I94" s="16"/>
      <c r="J94" s="16"/>
      <c r="K94" s="16"/>
      <c r="L94" s="16"/>
      <c r="M94" s="3"/>
      <c r="N94" s="3"/>
      <c r="O94" s="16"/>
      <c r="P94" s="16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12.75" hidden="1" customHeight="1">
      <c r="A95" s="16"/>
      <c r="B95" s="16"/>
      <c r="C95" s="3"/>
      <c r="D95" s="16"/>
      <c r="E95" s="3"/>
      <c r="F95" s="16"/>
      <c r="G95" s="16"/>
      <c r="H95" s="16"/>
      <c r="I95" s="16"/>
      <c r="J95" s="16"/>
      <c r="K95" s="16"/>
      <c r="L95" s="16"/>
      <c r="M95" s="3"/>
      <c r="N95" s="3"/>
      <c r="O95" s="16"/>
      <c r="P95" s="16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12.75" hidden="1" customHeight="1">
      <c r="A96" s="16"/>
      <c r="B96" s="16"/>
      <c r="C96" s="3"/>
      <c r="D96" s="16"/>
      <c r="E96" s="3"/>
      <c r="F96" s="16"/>
      <c r="G96" s="16"/>
      <c r="H96" s="16"/>
      <c r="I96" s="16"/>
      <c r="J96" s="16"/>
      <c r="K96" s="16"/>
      <c r="L96" s="16"/>
      <c r="M96" s="3"/>
      <c r="N96" s="3"/>
      <c r="O96" s="16"/>
      <c r="P96" s="16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12.75" hidden="1" customHeight="1">
      <c r="A97" s="16"/>
      <c r="B97" s="16"/>
      <c r="C97" s="3"/>
      <c r="D97" s="16"/>
      <c r="E97" s="3"/>
      <c r="F97" s="16"/>
      <c r="G97" s="16"/>
      <c r="H97" s="16"/>
      <c r="I97" s="16"/>
      <c r="J97" s="16"/>
      <c r="K97" s="16"/>
      <c r="L97" s="16"/>
      <c r="M97" s="3"/>
      <c r="N97" s="3"/>
      <c r="O97" s="16"/>
      <c r="P97" s="16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12.75" hidden="1" customHeight="1">
      <c r="A98" s="16"/>
      <c r="B98" s="16"/>
      <c r="C98" s="3"/>
      <c r="D98" s="16"/>
      <c r="E98" s="3"/>
      <c r="F98" s="16"/>
      <c r="G98" s="16"/>
      <c r="H98" s="16"/>
      <c r="I98" s="16"/>
      <c r="J98" s="16"/>
      <c r="K98" s="16"/>
      <c r="L98" s="16"/>
      <c r="M98" s="3"/>
      <c r="N98" s="3"/>
      <c r="O98" s="16"/>
      <c r="P98" s="16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12.75" customHeight="1">
      <c r="A99" s="16"/>
      <c r="B99" s="16"/>
      <c r="C99" s="3"/>
      <c r="D99" s="16"/>
      <c r="E99" s="3"/>
      <c r="F99" s="16"/>
      <c r="G99" s="16"/>
      <c r="H99" s="16"/>
      <c r="I99" s="16"/>
      <c r="J99" s="16"/>
      <c r="K99" s="16"/>
      <c r="L99" s="16"/>
      <c r="M99" s="3"/>
      <c r="N99" s="3"/>
      <c r="O99" s="16"/>
      <c r="P99" s="16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12.75" customHeight="1">
      <c r="A100" s="2" t="s">
        <v>316</v>
      </c>
      <c r="B100" s="3">
        <f t="array" ref="B100">SUM(IF(B$2:B$99=$A100,1))</f>
        <v>5</v>
      </c>
      <c r="C100" s="3">
        <f t="array" ref="C100">SUM(IF(C$2:C$99=$A100,1))</f>
        <v>0</v>
      </c>
      <c r="D100" s="3">
        <f t="array" ref="D100">SUM(IF(D$2:D$99=$A100,1))</f>
        <v>8</v>
      </c>
      <c r="E100" s="3">
        <f t="array" ref="E100">SUM(IF(E$2:E$99=$A100,1))</f>
        <v>0</v>
      </c>
      <c r="F100" s="3">
        <f t="array" ref="F100">SUM(IF(F$2:F$99=$A100,1))</f>
        <v>7</v>
      </c>
      <c r="G100" s="3">
        <f t="array" ref="G100">SUM(IF(G$2:G$99=$A100,1))</f>
        <v>3</v>
      </c>
      <c r="H100" s="3">
        <f t="array" ref="H100">SUM(IF(H$2:H$99=$A100,1))</f>
        <v>4</v>
      </c>
      <c r="I100" s="3">
        <f t="array" ref="I100">SUM(IF(I$2:I$99=$A100,1))</f>
        <v>8</v>
      </c>
      <c r="J100" s="3">
        <f t="array" ref="J100">SUM(IF(J$2:J$99=$A100,1))</f>
        <v>5</v>
      </c>
      <c r="K100" s="3">
        <f t="array" ref="K100">SUM(IF(K$2:K$99=$A100,1))</f>
        <v>1</v>
      </c>
      <c r="L100" s="3">
        <f t="array" ref="L100">SUM(IF(L$2:L$99=$A100,1))</f>
        <v>2</v>
      </c>
      <c r="M100" s="3">
        <f t="array" ref="M100">SUM(IF(M$2:M$99=$A100,1))</f>
        <v>0</v>
      </c>
      <c r="N100" s="3">
        <f t="array" ref="N100">SUM(IF(N$2:N$99=$A100,1))</f>
        <v>0</v>
      </c>
      <c r="O100" s="3">
        <f t="array" ref="O100">SUM(IF(O$2:O$99=$A100,1))</f>
        <v>1</v>
      </c>
      <c r="P100" s="3">
        <f t="array" ref="P100">SUM(IF(P$2:P$99=$A100,1))</f>
        <v>0</v>
      </c>
    </row>
    <row r="101" ht="12.75" customHeight="1">
      <c r="A101" s="2" t="s">
        <v>315</v>
      </c>
      <c r="B101" s="3">
        <f t="array" ref="B101">SUM(IF(B$2:B$99=$A101,1))</f>
        <v>13</v>
      </c>
      <c r="C101" s="3">
        <f t="array" ref="C101">SUM(IF(C$2:C$99=$A101,1))</f>
        <v>0</v>
      </c>
      <c r="D101" s="3">
        <f t="array" ref="D101">SUM(IF(D$2:D$99=$A101,1))</f>
        <v>6</v>
      </c>
      <c r="E101" s="3">
        <f t="array" ref="E101">SUM(IF(E$2:E$99=$A101,1))</f>
        <v>0</v>
      </c>
      <c r="F101" s="3">
        <f t="array" ref="F101">SUM(IF(F$2:F$99=$A101,1))</f>
        <v>15</v>
      </c>
      <c r="G101" s="3">
        <f t="array" ref="G101">SUM(IF(G$2:G$99=$A101,1))</f>
        <v>4</v>
      </c>
      <c r="H101" s="3">
        <f t="array" ref="H101">SUM(IF(H$2:H$99=$A101,1))</f>
        <v>7</v>
      </c>
      <c r="I101" s="3">
        <f t="array" ref="I101">SUM(IF(I$2:I$99=$A101,1))</f>
        <v>6</v>
      </c>
      <c r="J101" s="3">
        <f t="array" ref="J101">SUM(IF(J$2:J$99=$A101,1))</f>
        <v>8</v>
      </c>
      <c r="K101" s="3">
        <f t="array" ref="K101">SUM(IF(K$2:K$99=$A101,1))</f>
        <v>4</v>
      </c>
      <c r="L101" s="3">
        <f t="array" ref="L101">SUM(IF(L$2:L$99=$A101,1))</f>
        <v>2</v>
      </c>
      <c r="M101" s="3">
        <f t="array" ref="M101">SUM(IF(M$2:M$99=$A101,1))</f>
        <v>0</v>
      </c>
      <c r="N101" s="3">
        <f t="array" ref="N101">SUM(IF(N$2:N$99=$A101,1))</f>
        <v>0</v>
      </c>
      <c r="O101" s="3">
        <f t="array" ref="O101">SUM(IF(O$2:O$99=$A101,1))</f>
        <v>0</v>
      </c>
      <c r="P101" s="3">
        <f t="array" ref="P101">SUM(IF(P$2:P$99=$A101,1))</f>
        <v>1</v>
      </c>
    </row>
    <row r="102" ht="12.75" customHeight="1">
      <c r="A102" s="2" t="s">
        <v>314</v>
      </c>
      <c r="B102" s="3">
        <f t="array" ref="B102">SUM(IF(B$2:B$99=$A102,1))</f>
        <v>16</v>
      </c>
      <c r="C102" s="3">
        <f t="array" ref="C102">SUM(IF(C$2:C$99=$A102,1))</f>
        <v>0</v>
      </c>
      <c r="D102" s="3">
        <f t="array" ref="D102">SUM(IF(D$2:D$99=$A102,1))</f>
        <v>11</v>
      </c>
      <c r="E102" s="3">
        <f t="array" ref="E102">SUM(IF(E$2:E$99=$A102,1))</f>
        <v>0</v>
      </c>
      <c r="F102" s="3">
        <f t="array" ref="F102">SUM(IF(F$2:F$99=$A102,1))</f>
        <v>15</v>
      </c>
      <c r="G102" s="3">
        <f t="array" ref="G102">SUM(IF(G$2:G$99=$A102,1))</f>
        <v>1</v>
      </c>
      <c r="H102" s="3">
        <f t="array" ref="H102">SUM(IF(H$2:H$99=$A102,1))</f>
        <v>5</v>
      </c>
      <c r="I102" s="3">
        <f t="array" ref="I102">SUM(IF(I$2:I$99=$A102,1))</f>
        <v>7</v>
      </c>
      <c r="J102" s="3">
        <f t="array" ref="J102">SUM(IF(J$2:J$99=$A102,1))</f>
        <v>11</v>
      </c>
      <c r="K102" s="3">
        <f t="array" ref="K102">SUM(IF(K$2:K$99=$A102,1))</f>
        <v>0</v>
      </c>
      <c r="L102" s="3">
        <f t="array" ref="L102">SUM(IF(L$2:L$99=$A102,1))</f>
        <v>1</v>
      </c>
      <c r="M102" s="3">
        <f t="array" ref="M102">SUM(IF(M$2:M$99=$A102,1))</f>
        <v>0</v>
      </c>
      <c r="N102" s="3">
        <f t="array" ref="N102">SUM(IF(N$2:N$99=$A102,1))</f>
        <v>0</v>
      </c>
      <c r="O102" s="3">
        <f t="array" ref="O102">SUM(IF(O$2:O$99=$A102,1))</f>
        <v>0</v>
      </c>
      <c r="P102" s="3">
        <f t="array" ref="P102">SUM(IF(P$2:P$99=$A102,1))</f>
        <v>0</v>
      </c>
    </row>
    <row r="103" ht="12.75" customHeight="1">
      <c r="A103" s="4" t="s">
        <v>129</v>
      </c>
      <c r="B103" s="4">
        <f t="shared" ref="B103:P103" si="1">B100+B101*2+B102*3</f>
        <v>79</v>
      </c>
      <c r="C103" s="4">
        <f t="shared" si="1"/>
        <v>0</v>
      </c>
      <c r="D103" s="4">
        <f t="shared" si="1"/>
        <v>53</v>
      </c>
      <c r="E103" s="4">
        <f t="shared" si="1"/>
        <v>0</v>
      </c>
      <c r="F103" s="4">
        <f t="shared" si="1"/>
        <v>82</v>
      </c>
      <c r="G103" s="4">
        <f t="shared" si="1"/>
        <v>14</v>
      </c>
      <c r="H103" s="4">
        <f t="shared" si="1"/>
        <v>33</v>
      </c>
      <c r="I103" s="4">
        <f t="shared" si="1"/>
        <v>41</v>
      </c>
      <c r="J103" s="4">
        <f t="shared" si="1"/>
        <v>54</v>
      </c>
      <c r="K103" s="4">
        <f t="shared" si="1"/>
        <v>9</v>
      </c>
      <c r="L103" s="4">
        <f t="shared" si="1"/>
        <v>9</v>
      </c>
      <c r="M103" s="4">
        <f t="shared" si="1"/>
        <v>0</v>
      </c>
      <c r="N103" s="4">
        <f t="shared" si="1"/>
        <v>0</v>
      </c>
      <c r="O103" s="4">
        <f t="shared" si="1"/>
        <v>1</v>
      </c>
      <c r="P103" s="4">
        <f t="shared" si="1"/>
        <v>2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2.75" customHeight="1">
      <c r="A104" s="16"/>
      <c r="B104" s="16"/>
      <c r="C104" s="3"/>
      <c r="D104" s="16"/>
      <c r="E104" s="3"/>
      <c r="F104" s="16"/>
      <c r="G104" s="16"/>
      <c r="H104" s="16"/>
      <c r="I104" s="16"/>
      <c r="J104" s="16"/>
      <c r="K104" s="16"/>
      <c r="L104" s="16"/>
      <c r="M104" s="3"/>
      <c r="N104" s="3"/>
      <c r="O104" s="16"/>
      <c r="P104" s="16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2.75" customHeight="1">
      <c r="A105" s="2" t="s">
        <v>132</v>
      </c>
      <c r="B105" s="3">
        <f>B103+G103+I103+J103</f>
        <v>188</v>
      </c>
      <c r="D105" s="2" t="s">
        <v>133</v>
      </c>
      <c r="E105" s="12">
        <f>B103+G103</f>
        <v>93</v>
      </c>
      <c r="G105" s="2" t="s">
        <v>134</v>
      </c>
      <c r="H105" s="3">
        <f>I103+J103</f>
        <v>95</v>
      </c>
      <c r="K105" s="3"/>
      <c r="N105" s="11"/>
    </row>
    <row r="106" ht="12.75" customHeight="1">
      <c r="A106" s="2" t="s">
        <v>137</v>
      </c>
      <c r="B106" s="3">
        <f>C103+E103+H103+L103+M103</f>
        <v>42</v>
      </c>
      <c r="D106" s="2" t="s">
        <v>138</v>
      </c>
      <c r="E106" s="3">
        <f>M103+L103</f>
        <v>9</v>
      </c>
      <c r="G106" s="2" t="s">
        <v>139</v>
      </c>
      <c r="H106" s="3">
        <f>C103+E103+H103</f>
        <v>33</v>
      </c>
      <c r="K106" s="3"/>
      <c r="N106" s="11"/>
    </row>
    <row r="107" ht="12.75" customHeight="1">
      <c r="A107" s="2" t="s">
        <v>140</v>
      </c>
      <c r="B107" s="3">
        <f>D103+F103+K103+N103</f>
        <v>144</v>
      </c>
      <c r="D107" s="2" t="s">
        <v>141</v>
      </c>
      <c r="E107" s="3">
        <f>K103+N103</f>
        <v>9</v>
      </c>
      <c r="G107" s="2" t="s">
        <v>142</v>
      </c>
      <c r="H107" s="3">
        <f>D103+F103</f>
        <v>135</v>
      </c>
      <c r="K107" s="3"/>
      <c r="N107" s="11"/>
    </row>
    <row r="108" ht="12.75" customHeight="1">
      <c r="A108" s="16"/>
      <c r="B108" s="16"/>
      <c r="C108" s="3"/>
      <c r="D108" s="16"/>
      <c r="E108" s="3"/>
      <c r="F108" s="16"/>
      <c r="G108" s="16"/>
      <c r="H108" s="16"/>
      <c r="I108" s="16"/>
      <c r="J108" s="16"/>
      <c r="K108" s="16"/>
      <c r="L108" s="16"/>
      <c r="M108" s="3"/>
      <c r="N108" s="3"/>
      <c r="O108" s="16"/>
      <c r="P108" s="16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2.75" customHeight="1">
      <c r="A109" s="2" t="s">
        <v>143</v>
      </c>
      <c r="B109" s="3">
        <f>H105+H106+H107</f>
        <v>263</v>
      </c>
    </row>
    <row r="110" ht="12.75" customHeight="1">
      <c r="A110" s="2" t="s">
        <v>144</v>
      </c>
      <c r="B110" s="12">
        <f>E105+E106+E107</f>
        <v>111</v>
      </c>
      <c r="G110" s="2" t="s">
        <v>343</v>
      </c>
      <c r="H110" s="2" t="s">
        <v>307</v>
      </c>
    </row>
    <row r="111" ht="12.75" customHeight="1">
      <c r="A111" s="16"/>
      <c r="B111" s="16"/>
      <c r="C111" s="3"/>
      <c r="D111" s="16"/>
      <c r="E111" s="3"/>
      <c r="F111" s="16"/>
      <c r="G111" s="2" t="s">
        <v>344</v>
      </c>
      <c r="H111" s="2" t="s">
        <v>309</v>
      </c>
      <c r="I111" s="16"/>
      <c r="J111" s="16"/>
      <c r="K111" s="16"/>
      <c r="L111" s="16"/>
      <c r="M111" s="3"/>
      <c r="N111" s="3"/>
      <c r="O111" s="16"/>
      <c r="P111" s="16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2.75" customHeight="1">
      <c r="A112" s="19" t="s">
        <v>145</v>
      </c>
      <c r="B112" s="19" t="s">
        <v>4</v>
      </c>
      <c r="C112" s="3"/>
      <c r="D112" s="16"/>
      <c r="E112" s="3"/>
      <c r="F112" s="16"/>
      <c r="G112" s="16"/>
      <c r="H112" s="16"/>
      <c r="I112" s="16"/>
      <c r="J112" s="16"/>
      <c r="K112" s="16"/>
      <c r="L112" s="16"/>
      <c r="M112" s="3"/>
      <c r="N112" s="3"/>
      <c r="O112" s="16"/>
      <c r="P112" s="16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2.75" customHeight="1">
      <c r="A113" s="16"/>
      <c r="B113" s="16"/>
      <c r="C113" s="3"/>
      <c r="D113" s="16"/>
      <c r="E113" s="3"/>
      <c r="F113" s="16"/>
      <c r="G113" s="16"/>
      <c r="H113" s="16"/>
      <c r="I113" s="16"/>
      <c r="J113" s="16"/>
      <c r="K113" s="16"/>
      <c r="L113" s="16"/>
      <c r="M113" s="3"/>
      <c r="N113" s="3"/>
      <c r="O113" s="16"/>
      <c r="P113" s="16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2.75" customHeight="1">
      <c r="A114" s="2" t="s">
        <v>69</v>
      </c>
      <c r="O114" s="2" t="s">
        <v>310</v>
      </c>
    </row>
    <row r="115" ht="12.75" customHeight="1">
      <c r="A115" s="2" t="s">
        <v>311</v>
      </c>
      <c r="B115" s="3">
        <f>B103+'2014'!B123</f>
        <v>492.75</v>
      </c>
      <c r="C115" s="3">
        <f>C103+'2014'!C123</f>
        <v>369.5</v>
      </c>
      <c r="D115" s="3">
        <f>D103+'2014'!D123</f>
        <v>316</v>
      </c>
      <c r="E115" s="3">
        <f>E103+'2014'!E123</f>
        <v>364.25</v>
      </c>
      <c r="F115" s="3">
        <f>F103+'2014'!F123</f>
        <v>455.25</v>
      </c>
      <c r="G115" s="3">
        <f>G103+'2014'!G123</f>
        <v>182</v>
      </c>
      <c r="H115" s="3">
        <f>H103+'2014'!H123</f>
        <v>171.25</v>
      </c>
      <c r="I115" s="3">
        <f>I103+'2014'!I123</f>
        <v>199.5</v>
      </c>
      <c r="J115" s="3">
        <f>J103+'2014'!J123</f>
        <v>178</v>
      </c>
      <c r="K115" s="3">
        <f>K103+'2014'!K123</f>
        <v>111</v>
      </c>
      <c r="L115" s="3">
        <f>L103+'2014'!L123</f>
        <v>27</v>
      </c>
      <c r="M115" s="3">
        <f>M103+'2014'!M123</f>
        <v>34</v>
      </c>
      <c r="N115" s="3">
        <f>N103+'2014'!N123</f>
        <v>12</v>
      </c>
      <c r="O115" s="3">
        <f>O103+'2014'!O123+P103</f>
        <v>26.25</v>
      </c>
    </row>
    <row r="116" ht="12.75" customHeight="1">
      <c r="A116" s="16"/>
      <c r="B116" s="16"/>
      <c r="C116" s="3"/>
      <c r="D116" s="16"/>
      <c r="E116" s="3"/>
      <c r="F116" s="16"/>
      <c r="G116" s="16"/>
      <c r="H116" s="16"/>
      <c r="I116" s="16"/>
      <c r="J116" s="16"/>
      <c r="K116" s="16"/>
      <c r="L116" s="16"/>
      <c r="M116" s="3"/>
      <c r="N116" s="3"/>
      <c r="O116" s="16"/>
      <c r="P116" s="16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2.75" customHeight="1">
      <c r="A117" s="2" t="s">
        <v>312</v>
      </c>
      <c r="B117" s="3">
        <f>46+'2014'!C127</f>
        <v>367</v>
      </c>
      <c r="C117" s="3"/>
      <c r="D117" s="16"/>
      <c r="E117" s="3"/>
      <c r="F117" s="16"/>
      <c r="G117" s="16"/>
      <c r="H117" s="16"/>
      <c r="I117" s="16"/>
      <c r="J117" s="16"/>
      <c r="K117" s="16"/>
      <c r="L117" s="16"/>
      <c r="M117" s="3"/>
      <c r="N117" s="3"/>
      <c r="O117" s="16"/>
      <c r="P117" s="16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2.75" customHeight="1">
      <c r="A118" s="16"/>
      <c r="B118" s="16"/>
      <c r="C118" s="3"/>
      <c r="D118" s="16"/>
      <c r="E118" s="3"/>
      <c r="F118" s="16"/>
      <c r="G118" s="16"/>
      <c r="H118" s="16"/>
      <c r="I118" s="16"/>
      <c r="J118" s="16"/>
      <c r="K118" s="16"/>
      <c r="L118" s="16"/>
      <c r="M118" s="3"/>
      <c r="N118" s="3"/>
      <c r="O118" s="16"/>
      <c r="P118" s="16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2.75" customHeight="1">
      <c r="A119" s="16" t="s">
        <v>85</v>
      </c>
      <c r="B119" s="16">
        <f>SUM(IF($B1=B$112,1))+'2014'!B125</f>
        <v>3</v>
      </c>
      <c r="C119" s="16">
        <f>SUM(IF($C1=B$112,1))+'2014'!C125</f>
        <v>2</v>
      </c>
      <c r="D119" s="16">
        <f>SUM(IF($D1=B$112,1))+'2014'!D125</f>
        <v>0</v>
      </c>
      <c r="E119" s="16">
        <f>SUM(IF($E1=B$112,1))+'2014'!E125</f>
        <v>1</v>
      </c>
      <c r="F119" s="16">
        <f>SUM(IF($F1=B$112,1))+'2014'!F125</f>
        <v>2</v>
      </c>
      <c r="G119" s="16">
        <f>SUM(IF($G1=B$112,1))+'2014'!G125</f>
        <v>0</v>
      </c>
      <c r="H119" s="16">
        <f>SUM(IF($H1=B$112,1))+'2014'!H125</f>
        <v>0</v>
      </c>
      <c r="I119" s="16">
        <f>SUM(IF($I1=B$112,1))+'2014'!I125</f>
        <v>0</v>
      </c>
      <c r="J119" s="16">
        <f>SUM(IF($J1=B$112,1))+'2014'!J125</f>
        <v>0</v>
      </c>
      <c r="K119" s="16">
        <f>SUM(IF($K1=B$112,1))+'2014'!K125</f>
        <v>0</v>
      </c>
      <c r="L119" s="16">
        <f>SUM(IF($L1=B$112,1))+'2014'!L125</f>
        <v>0</v>
      </c>
      <c r="M119" s="16">
        <f>SUM(IF($M1=B$112,1))+'2014'!M125</f>
        <v>0</v>
      </c>
      <c r="N119" s="16">
        <f>SUM(IF($N1=B$112,1))+'2014'!N125</f>
        <v>0</v>
      </c>
      <c r="O119" s="16">
        <f>SUM(IF($O1=B$112,1))+'2014'!O125</f>
        <v>0</v>
      </c>
      <c r="P119" s="16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2.75" customHeight="1">
      <c r="A120" s="16"/>
      <c r="B120" s="16"/>
      <c r="C120" s="3"/>
      <c r="D120" s="16"/>
      <c r="E120" s="3"/>
      <c r="F120" s="16"/>
      <c r="G120" s="16"/>
      <c r="H120" s="16"/>
      <c r="I120" s="16"/>
      <c r="J120" s="16"/>
      <c r="K120" s="16"/>
      <c r="L120" s="16"/>
      <c r="M120" s="3"/>
      <c r="N120" s="3"/>
      <c r="O120" s="16"/>
      <c r="P120" s="16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2.75" customHeight="1">
      <c r="A121" s="16"/>
      <c r="B121" s="16"/>
      <c r="C121" s="3"/>
      <c r="D121" s="16"/>
      <c r="E121" s="3"/>
      <c r="F121" s="16"/>
      <c r="G121" s="16"/>
      <c r="H121" s="16"/>
      <c r="I121" s="16"/>
      <c r="J121" s="16"/>
      <c r="K121" s="16"/>
      <c r="L121" s="16"/>
      <c r="M121" s="3"/>
      <c r="N121" s="3"/>
      <c r="O121" s="16"/>
      <c r="P121" s="16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2.75" customHeight="1">
      <c r="A122" s="16"/>
      <c r="B122" s="16"/>
      <c r="C122" s="3"/>
      <c r="D122" s="16"/>
      <c r="E122" s="3"/>
      <c r="F122" s="16"/>
      <c r="G122" s="16"/>
      <c r="H122" s="16"/>
      <c r="I122" s="16"/>
      <c r="J122" s="16"/>
      <c r="K122" s="16"/>
      <c r="L122" s="16"/>
      <c r="M122" s="3"/>
      <c r="N122" s="3"/>
      <c r="O122" s="16"/>
      <c r="P122" s="16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2.75" customHeight="1">
      <c r="A123" s="16"/>
      <c r="B123" s="16"/>
      <c r="C123" s="3"/>
      <c r="D123" s="16"/>
      <c r="E123" s="3"/>
      <c r="F123" s="16"/>
      <c r="G123" s="16"/>
      <c r="H123" s="16"/>
      <c r="I123" s="16"/>
      <c r="J123" s="16"/>
      <c r="K123" s="16"/>
      <c r="L123" s="16"/>
      <c r="M123" s="3"/>
      <c r="N123" s="3"/>
      <c r="O123" s="16"/>
      <c r="P123" s="16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2.75" customHeight="1">
      <c r="A124" s="16"/>
      <c r="B124" s="16"/>
      <c r="C124" s="3"/>
      <c r="D124" s="16"/>
      <c r="E124" s="3"/>
      <c r="F124" s="16"/>
      <c r="G124" s="16"/>
      <c r="H124" s="16"/>
      <c r="I124" s="16"/>
      <c r="J124" s="16"/>
      <c r="K124" s="16"/>
      <c r="L124" s="16"/>
      <c r="M124" s="3"/>
      <c r="N124" s="3"/>
      <c r="O124" s="16"/>
      <c r="P124" s="16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2.75" customHeight="1">
      <c r="A125" s="16"/>
      <c r="B125" s="16"/>
      <c r="C125" s="3"/>
      <c r="D125" s="16"/>
      <c r="E125" s="3"/>
      <c r="F125" s="16"/>
      <c r="G125" s="16"/>
      <c r="H125" s="16"/>
      <c r="I125" s="16"/>
      <c r="J125" s="16"/>
      <c r="K125" s="16"/>
      <c r="L125" s="16"/>
      <c r="M125" s="3"/>
      <c r="N125" s="3"/>
      <c r="O125" s="16"/>
      <c r="P125" s="16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2.75" customHeight="1">
      <c r="A126" s="16"/>
      <c r="B126" s="16"/>
      <c r="C126" s="3"/>
      <c r="D126" s="16"/>
      <c r="E126" s="3"/>
      <c r="F126" s="16"/>
      <c r="G126" s="16"/>
      <c r="H126" s="16"/>
      <c r="I126" s="16"/>
      <c r="J126" s="16"/>
      <c r="K126" s="16"/>
      <c r="L126" s="16"/>
      <c r="M126" s="3"/>
      <c r="N126" s="3"/>
      <c r="O126" s="16"/>
      <c r="P126" s="16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2.75" customHeight="1">
      <c r="A127" s="16"/>
      <c r="B127" s="16"/>
      <c r="C127" s="3"/>
      <c r="D127" s="16"/>
      <c r="E127" s="3"/>
      <c r="F127" s="16"/>
      <c r="G127" s="16"/>
      <c r="H127" s="16"/>
      <c r="I127" s="16"/>
      <c r="J127" s="16"/>
      <c r="K127" s="16"/>
      <c r="L127" s="16"/>
      <c r="M127" s="3"/>
      <c r="N127" s="3"/>
      <c r="O127" s="16"/>
      <c r="P127" s="16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2.75" customHeight="1">
      <c r="A128" s="16"/>
      <c r="B128" s="16"/>
      <c r="C128" s="3"/>
      <c r="D128" s="16"/>
      <c r="E128" s="3"/>
      <c r="F128" s="16"/>
      <c r="G128" s="16"/>
      <c r="H128" s="16"/>
      <c r="I128" s="16"/>
      <c r="J128" s="16"/>
      <c r="K128" s="16"/>
      <c r="L128" s="16"/>
      <c r="M128" s="3"/>
      <c r="N128" s="3"/>
      <c r="O128" s="16"/>
      <c r="P128" s="16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2.75" customHeight="1">
      <c r="A129" s="16"/>
      <c r="B129" s="16"/>
      <c r="C129" s="3"/>
      <c r="D129" s="16"/>
      <c r="E129" s="3"/>
      <c r="F129" s="16"/>
      <c r="G129" s="16"/>
      <c r="H129" s="16"/>
      <c r="I129" s="16"/>
      <c r="J129" s="16"/>
      <c r="K129" s="16"/>
      <c r="L129" s="16"/>
      <c r="M129" s="3"/>
      <c r="N129" s="3"/>
      <c r="O129" s="16"/>
      <c r="P129" s="16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2.75" customHeight="1">
      <c r="A130" s="16"/>
      <c r="B130" s="16"/>
      <c r="C130" s="3"/>
      <c r="D130" s="16"/>
      <c r="E130" s="3"/>
      <c r="F130" s="16"/>
      <c r="G130" s="16"/>
      <c r="H130" s="16"/>
      <c r="I130" s="16"/>
      <c r="J130" s="16"/>
      <c r="K130" s="16"/>
      <c r="L130" s="16"/>
      <c r="M130" s="3"/>
      <c r="N130" s="3"/>
      <c r="O130" s="16"/>
      <c r="P130" s="16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2.75" customHeight="1">
      <c r="A131" s="16"/>
      <c r="B131" s="16"/>
      <c r="C131" s="3"/>
      <c r="D131" s="16"/>
      <c r="E131" s="3"/>
      <c r="F131" s="16"/>
      <c r="G131" s="16"/>
      <c r="H131" s="16"/>
      <c r="I131" s="16"/>
      <c r="J131" s="16"/>
      <c r="K131" s="16"/>
      <c r="L131" s="16"/>
      <c r="M131" s="3"/>
      <c r="N131" s="3"/>
      <c r="O131" s="16"/>
      <c r="P131" s="16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2.75" customHeight="1">
      <c r="A132" s="16"/>
      <c r="B132" s="16"/>
      <c r="C132" s="3"/>
      <c r="D132" s="16"/>
      <c r="E132" s="3"/>
      <c r="F132" s="16"/>
      <c r="G132" s="16"/>
      <c r="H132" s="16"/>
      <c r="I132" s="16"/>
      <c r="J132" s="16"/>
      <c r="K132" s="16"/>
      <c r="L132" s="16"/>
      <c r="M132" s="3"/>
      <c r="N132" s="3"/>
      <c r="O132" s="16"/>
      <c r="P132" s="16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2.75" customHeight="1">
      <c r="A133" s="16"/>
      <c r="B133" s="16"/>
      <c r="C133" s="3"/>
      <c r="D133" s="16"/>
      <c r="E133" s="3"/>
      <c r="F133" s="16"/>
      <c r="G133" s="16"/>
      <c r="H133" s="16"/>
      <c r="I133" s="16"/>
      <c r="J133" s="16"/>
      <c r="K133" s="16"/>
      <c r="L133" s="16"/>
      <c r="M133" s="3"/>
      <c r="N133" s="3"/>
      <c r="O133" s="16"/>
      <c r="P133" s="16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2.75" customHeight="1">
      <c r="A134" s="16"/>
      <c r="B134" s="16"/>
      <c r="C134" s="3"/>
      <c r="D134" s="16"/>
      <c r="E134" s="3"/>
      <c r="F134" s="16"/>
      <c r="G134" s="16"/>
      <c r="H134" s="16"/>
      <c r="I134" s="16"/>
      <c r="J134" s="16"/>
      <c r="K134" s="16"/>
      <c r="L134" s="16"/>
      <c r="M134" s="3"/>
      <c r="N134" s="3"/>
      <c r="O134" s="16"/>
      <c r="P134" s="16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2.75" customHeight="1">
      <c r="A135" s="16"/>
      <c r="B135" s="16"/>
      <c r="C135" s="3"/>
      <c r="D135" s="16"/>
      <c r="E135" s="3"/>
      <c r="F135" s="16"/>
      <c r="G135" s="16"/>
      <c r="H135" s="16"/>
      <c r="I135" s="16"/>
      <c r="J135" s="16"/>
      <c r="K135" s="16"/>
      <c r="L135" s="16"/>
      <c r="M135" s="3"/>
      <c r="N135" s="3"/>
      <c r="O135" s="16"/>
      <c r="P135" s="16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2.75" customHeight="1">
      <c r="A136" s="16"/>
      <c r="B136" s="16"/>
      <c r="C136" s="3"/>
      <c r="D136" s="16"/>
      <c r="E136" s="3"/>
      <c r="F136" s="16"/>
      <c r="G136" s="16"/>
      <c r="H136" s="16"/>
      <c r="I136" s="16"/>
      <c r="J136" s="16"/>
      <c r="K136" s="16"/>
      <c r="L136" s="16"/>
      <c r="M136" s="3"/>
      <c r="N136" s="3"/>
      <c r="O136" s="16"/>
      <c r="P136" s="16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2.75" customHeight="1">
      <c r="A137" s="16"/>
      <c r="B137" s="16"/>
      <c r="C137" s="3"/>
      <c r="D137" s="16"/>
      <c r="E137" s="3"/>
      <c r="F137" s="16"/>
      <c r="G137" s="16"/>
      <c r="H137" s="16"/>
      <c r="I137" s="16"/>
      <c r="J137" s="16"/>
      <c r="K137" s="16"/>
      <c r="L137" s="16"/>
      <c r="M137" s="3"/>
      <c r="N137" s="3"/>
      <c r="O137" s="16"/>
      <c r="P137" s="16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2.75" customHeight="1">
      <c r="A138" s="16"/>
      <c r="B138" s="16"/>
      <c r="C138" s="3"/>
      <c r="D138" s="16"/>
      <c r="E138" s="3"/>
      <c r="F138" s="16"/>
      <c r="G138" s="16"/>
      <c r="H138" s="16"/>
      <c r="I138" s="16"/>
      <c r="J138" s="16"/>
      <c r="K138" s="16"/>
      <c r="L138" s="16"/>
      <c r="M138" s="3"/>
      <c r="N138" s="3"/>
      <c r="O138" s="16"/>
      <c r="P138" s="16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2.75" customHeight="1">
      <c r="A139" s="16"/>
      <c r="B139" s="16"/>
      <c r="C139" s="3"/>
      <c r="D139" s="16"/>
      <c r="E139" s="3"/>
      <c r="F139" s="16"/>
      <c r="G139" s="16"/>
      <c r="H139" s="16"/>
      <c r="I139" s="16"/>
      <c r="J139" s="16"/>
      <c r="K139" s="16"/>
      <c r="L139" s="16"/>
      <c r="M139" s="3"/>
      <c r="N139" s="3"/>
      <c r="O139" s="16"/>
      <c r="P139" s="16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2.75" customHeight="1">
      <c r="A140" s="16"/>
      <c r="B140" s="16"/>
      <c r="C140" s="3"/>
      <c r="D140" s="16"/>
      <c r="E140" s="3"/>
      <c r="F140" s="16"/>
      <c r="G140" s="16"/>
      <c r="H140" s="16"/>
      <c r="I140" s="16"/>
      <c r="J140" s="16"/>
      <c r="K140" s="16"/>
      <c r="L140" s="16"/>
      <c r="M140" s="3"/>
      <c r="N140" s="3"/>
      <c r="O140" s="16"/>
      <c r="P140" s="16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2.75" customHeight="1">
      <c r="A141" s="16"/>
      <c r="B141" s="16"/>
      <c r="C141" s="3"/>
      <c r="D141" s="16"/>
      <c r="E141" s="3"/>
      <c r="F141" s="16"/>
      <c r="G141" s="16"/>
      <c r="H141" s="16"/>
      <c r="I141" s="16"/>
      <c r="J141" s="16"/>
      <c r="K141" s="16"/>
      <c r="L141" s="16"/>
      <c r="M141" s="3"/>
      <c r="N141" s="3"/>
      <c r="O141" s="16"/>
      <c r="P141" s="16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2.75" customHeight="1">
      <c r="A142" s="16"/>
      <c r="B142" s="16"/>
      <c r="C142" s="3"/>
      <c r="D142" s="16"/>
      <c r="E142" s="3"/>
      <c r="F142" s="16"/>
      <c r="G142" s="16"/>
      <c r="H142" s="16"/>
      <c r="I142" s="16"/>
      <c r="J142" s="16"/>
      <c r="K142" s="16"/>
      <c r="L142" s="16"/>
      <c r="M142" s="3"/>
      <c r="N142" s="3"/>
      <c r="O142" s="16"/>
      <c r="P142" s="16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2.75" customHeight="1">
      <c r="A143" s="16"/>
      <c r="B143" s="16"/>
      <c r="C143" s="3"/>
      <c r="D143" s="16"/>
      <c r="E143" s="3"/>
      <c r="F143" s="16"/>
      <c r="G143" s="16"/>
      <c r="H143" s="16"/>
      <c r="I143" s="16"/>
      <c r="J143" s="16"/>
      <c r="K143" s="16"/>
      <c r="L143" s="16"/>
      <c r="M143" s="3"/>
      <c r="N143" s="3"/>
      <c r="O143" s="16"/>
      <c r="P143" s="16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2.75" customHeight="1">
      <c r="A144" s="16"/>
      <c r="B144" s="16"/>
      <c r="C144" s="3"/>
      <c r="D144" s="16"/>
      <c r="E144" s="3"/>
      <c r="F144" s="16"/>
      <c r="G144" s="16"/>
      <c r="H144" s="16"/>
      <c r="I144" s="16"/>
      <c r="J144" s="16"/>
      <c r="K144" s="16"/>
      <c r="L144" s="16"/>
      <c r="M144" s="3"/>
      <c r="N144" s="3"/>
      <c r="O144" s="16"/>
      <c r="P144" s="16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2.75" customHeight="1">
      <c r="A145" s="16"/>
      <c r="B145" s="16"/>
      <c r="C145" s="3"/>
      <c r="D145" s="16"/>
      <c r="E145" s="3"/>
      <c r="F145" s="16"/>
      <c r="G145" s="16"/>
      <c r="H145" s="16"/>
      <c r="I145" s="16"/>
      <c r="J145" s="16"/>
      <c r="K145" s="16"/>
      <c r="L145" s="16"/>
      <c r="M145" s="3"/>
      <c r="N145" s="3"/>
      <c r="O145" s="16"/>
      <c r="P145" s="16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2.75" customHeight="1">
      <c r="A146" s="16"/>
      <c r="B146" s="16"/>
      <c r="C146" s="3"/>
      <c r="D146" s="16"/>
      <c r="E146" s="3"/>
      <c r="F146" s="16"/>
      <c r="G146" s="16"/>
      <c r="H146" s="16"/>
      <c r="I146" s="16"/>
      <c r="J146" s="16"/>
      <c r="K146" s="16"/>
      <c r="L146" s="16"/>
      <c r="M146" s="3"/>
      <c r="N146" s="3"/>
      <c r="O146" s="16"/>
      <c r="P146" s="16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2.75" customHeight="1">
      <c r="A147" s="16"/>
      <c r="B147" s="16"/>
      <c r="C147" s="3"/>
      <c r="D147" s="16"/>
      <c r="E147" s="3"/>
      <c r="F147" s="16"/>
      <c r="G147" s="16"/>
      <c r="H147" s="16"/>
      <c r="I147" s="16"/>
      <c r="J147" s="16"/>
      <c r="K147" s="16"/>
      <c r="L147" s="16"/>
      <c r="M147" s="3"/>
      <c r="N147" s="3"/>
      <c r="O147" s="16"/>
      <c r="P147" s="16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2.75" customHeight="1">
      <c r="A148" s="16"/>
      <c r="B148" s="16"/>
      <c r="C148" s="3"/>
      <c r="D148" s="16"/>
      <c r="E148" s="3"/>
      <c r="F148" s="16"/>
      <c r="G148" s="16"/>
      <c r="H148" s="16"/>
      <c r="I148" s="16"/>
      <c r="J148" s="16"/>
      <c r="K148" s="16"/>
      <c r="L148" s="16"/>
      <c r="M148" s="3"/>
      <c r="N148" s="3"/>
      <c r="O148" s="16"/>
      <c r="P148" s="16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2.75" customHeight="1">
      <c r="A149" s="16"/>
      <c r="B149" s="16"/>
      <c r="C149" s="3"/>
      <c r="D149" s="16"/>
      <c r="E149" s="3"/>
      <c r="F149" s="16"/>
      <c r="G149" s="16"/>
      <c r="H149" s="16"/>
      <c r="I149" s="16"/>
      <c r="J149" s="16"/>
      <c r="K149" s="16"/>
      <c r="L149" s="16"/>
      <c r="M149" s="3"/>
      <c r="N149" s="3"/>
      <c r="O149" s="16"/>
      <c r="P149" s="16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2.75" customHeight="1">
      <c r="A150" s="16"/>
      <c r="B150" s="16"/>
      <c r="C150" s="3"/>
      <c r="D150" s="16"/>
      <c r="E150" s="3"/>
      <c r="F150" s="16"/>
      <c r="G150" s="16"/>
      <c r="H150" s="16"/>
      <c r="I150" s="16"/>
      <c r="J150" s="16"/>
      <c r="K150" s="16"/>
      <c r="L150" s="16"/>
      <c r="M150" s="3"/>
      <c r="N150" s="3"/>
      <c r="O150" s="16"/>
      <c r="P150" s="16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2.75" customHeight="1">
      <c r="A151" s="16"/>
      <c r="B151" s="16"/>
      <c r="C151" s="3"/>
      <c r="D151" s="16"/>
      <c r="E151" s="3"/>
      <c r="F151" s="16"/>
      <c r="G151" s="16"/>
      <c r="H151" s="16"/>
      <c r="I151" s="16"/>
      <c r="J151" s="16"/>
      <c r="K151" s="16"/>
      <c r="L151" s="16"/>
      <c r="M151" s="3"/>
      <c r="N151" s="3"/>
      <c r="O151" s="16"/>
      <c r="P151" s="16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2.75" customHeight="1">
      <c r="A152" s="16"/>
      <c r="B152" s="16"/>
      <c r="C152" s="3"/>
      <c r="D152" s="16"/>
      <c r="E152" s="3"/>
      <c r="F152" s="16"/>
      <c r="G152" s="16"/>
      <c r="H152" s="16"/>
      <c r="I152" s="16"/>
      <c r="J152" s="16"/>
      <c r="K152" s="16"/>
      <c r="L152" s="16"/>
      <c r="M152" s="3"/>
      <c r="N152" s="3"/>
      <c r="O152" s="16"/>
      <c r="P152" s="16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2.75" customHeight="1">
      <c r="A153" s="16"/>
      <c r="B153" s="16"/>
      <c r="C153" s="3"/>
      <c r="D153" s="16"/>
      <c r="E153" s="3"/>
      <c r="F153" s="16"/>
      <c r="G153" s="16"/>
      <c r="H153" s="16"/>
      <c r="I153" s="16"/>
      <c r="J153" s="16"/>
      <c r="K153" s="16"/>
      <c r="L153" s="16"/>
      <c r="M153" s="3"/>
      <c r="N153" s="3"/>
      <c r="O153" s="16"/>
      <c r="P153" s="16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2.75" customHeight="1">
      <c r="A154" s="16"/>
      <c r="B154" s="16"/>
      <c r="C154" s="3"/>
      <c r="D154" s="16"/>
      <c r="E154" s="3"/>
      <c r="F154" s="16"/>
      <c r="G154" s="16"/>
      <c r="H154" s="16"/>
      <c r="I154" s="16"/>
      <c r="J154" s="16"/>
      <c r="K154" s="16"/>
      <c r="L154" s="16"/>
      <c r="M154" s="3"/>
      <c r="N154" s="3"/>
      <c r="O154" s="16"/>
      <c r="P154" s="16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2.75" customHeight="1">
      <c r="A155" s="16"/>
      <c r="B155" s="16"/>
      <c r="C155" s="3"/>
      <c r="D155" s="16"/>
      <c r="E155" s="3"/>
      <c r="F155" s="16"/>
      <c r="G155" s="16"/>
      <c r="H155" s="16"/>
      <c r="I155" s="16"/>
      <c r="J155" s="16"/>
      <c r="K155" s="16"/>
      <c r="L155" s="16"/>
      <c r="M155" s="3"/>
      <c r="N155" s="3"/>
      <c r="O155" s="16"/>
      <c r="P155" s="16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2.75" customHeight="1">
      <c r="A156" s="16"/>
      <c r="B156" s="16"/>
      <c r="C156" s="3"/>
      <c r="D156" s="16"/>
      <c r="E156" s="3"/>
      <c r="F156" s="16"/>
      <c r="G156" s="16"/>
      <c r="H156" s="16"/>
      <c r="I156" s="16"/>
      <c r="J156" s="16"/>
      <c r="K156" s="16"/>
      <c r="L156" s="16"/>
      <c r="M156" s="3"/>
      <c r="N156" s="3"/>
      <c r="O156" s="16"/>
      <c r="P156" s="16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2.75" customHeight="1">
      <c r="A157" s="16"/>
      <c r="B157" s="16"/>
      <c r="C157" s="3"/>
      <c r="D157" s="16"/>
      <c r="E157" s="3"/>
      <c r="F157" s="16"/>
      <c r="G157" s="16"/>
      <c r="H157" s="16"/>
      <c r="I157" s="16"/>
      <c r="J157" s="16"/>
      <c r="K157" s="16"/>
      <c r="L157" s="16"/>
      <c r="M157" s="3"/>
      <c r="N157" s="3"/>
      <c r="O157" s="16"/>
      <c r="P157" s="16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2.75" customHeight="1">
      <c r="A158" s="16"/>
      <c r="B158" s="16"/>
      <c r="C158" s="3"/>
      <c r="D158" s="16"/>
      <c r="E158" s="3"/>
      <c r="F158" s="16"/>
      <c r="G158" s="16"/>
      <c r="H158" s="16"/>
      <c r="I158" s="16"/>
      <c r="J158" s="16"/>
      <c r="K158" s="16"/>
      <c r="L158" s="16"/>
      <c r="M158" s="3"/>
      <c r="N158" s="3"/>
      <c r="O158" s="16"/>
      <c r="P158" s="16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2.75" customHeight="1">
      <c r="A159" s="16"/>
      <c r="B159" s="16"/>
      <c r="C159" s="3"/>
      <c r="D159" s="16"/>
      <c r="E159" s="3"/>
      <c r="F159" s="16"/>
      <c r="G159" s="16"/>
      <c r="H159" s="16"/>
      <c r="I159" s="16"/>
      <c r="J159" s="16"/>
      <c r="K159" s="16"/>
      <c r="L159" s="16"/>
      <c r="M159" s="3"/>
      <c r="N159" s="3"/>
      <c r="O159" s="16"/>
      <c r="P159" s="16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2.75" customHeight="1">
      <c r="A160" s="16"/>
      <c r="B160" s="16"/>
      <c r="C160" s="3"/>
      <c r="D160" s="16"/>
      <c r="E160" s="3"/>
      <c r="F160" s="16"/>
      <c r="G160" s="16"/>
      <c r="H160" s="16"/>
      <c r="I160" s="16"/>
      <c r="J160" s="16"/>
      <c r="K160" s="16"/>
      <c r="L160" s="16"/>
      <c r="M160" s="3"/>
      <c r="N160" s="3"/>
      <c r="O160" s="16"/>
      <c r="P160" s="16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2.75" customHeight="1">
      <c r="A161" s="16"/>
      <c r="B161" s="16"/>
      <c r="C161" s="3"/>
      <c r="D161" s="16"/>
      <c r="E161" s="3"/>
      <c r="F161" s="16"/>
      <c r="G161" s="16"/>
      <c r="H161" s="16"/>
      <c r="I161" s="16"/>
      <c r="J161" s="16"/>
      <c r="K161" s="16"/>
      <c r="L161" s="16"/>
      <c r="M161" s="3"/>
      <c r="N161" s="3"/>
      <c r="O161" s="16"/>
      <c r="P161" s="16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2.75" customHeight="1">
      <c r="A162" s="16"/>
      <c r="B162" s="16"/>
      <c r="C162" s="3"/>
      <c r="D162" s="16"/>
      <c r="E162" s="3"/>
      <c r="F162" s="16"/>
      <c r="G162" s="16"/>
      <c r="H162" s="16"/>
      <c r="I162" s="16"/>
      <c r="J162" s="16"/>
      <c r="K162" s="16"/>
      <c r="L162" s="16"/>
      <c r="M162" s="3"/>
      <c r="N162" s="3"/>
      <c r="O162" s="16"/>
      <c r="P162" s="16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2.75" customHeight="1">
      <c r="A163" s="16"/>
      <c r="B163" s="16"/>
      <c r="C163" s="3"/>
      <c r="D163" s="16"/>
      <c r="E163" s="3"/>
      <c r="F163" s="16"/>
      <c r="G163" s="16"/>
      <c r="H163" s="16"/>
      <c r="I163" s="16"/>
      <c r="J163" s="16"/>
      <c r="K163" s="16"/>
      <c r="L163" s="16"/>
      <c r="M163" s="3"/>
      <c r="N163" s="3"/>
      <c r="O163" s="16"/>
      <c r="P163" s="16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2.75" customHeight="1">
      <c r="A164" s="16"/>
      <c r="B164" s="16"/>
      <c r="C164" s="3"/>
      <c r="D164" s="16"/>
      <c r="E164" s="3"/>
      <c r="F164" s="16"/>
      <c r="G164" s="16"/>
      <c r="H164" s="16"/>
      <c r="I164" s="16"/>
      <c r="J164" s="16"/>
      <c r="K164" s="16"/>
      <c r="L164" s="16"/>
      <c r="M164" s="3"/>
      <c r="N164" s="3"/>
      <c r="O164" s="16"/>
      <c r="P164" s="16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2.75" customHeight="1">
      <c r="A165" s="16"/>
      <c r="B165" s="16"/>
      <c r="C165" s="3"/>
      <c r="D165" s="16"/>
      <c r="E165" s="3"/>
      <c r="F165" s="16"/>
      <c r="G165" s="16"/>
      <c r="H165" s="16"/>
      <c r="I165" s="16"/>
      <c r="J165" s="16"/>
      <c r="K165" s="16"/>
      <c r="L165" s="16"/>
      <c r="M165" s="3"/>
      <c r="N165" s="3"/>
      <c r="O165" s="16"/>
      <c r="P165" s="16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2.75" customHeight="1">
      <c r="A166" s="16"/>
      <c r="B166" s="16"/>
      <c r="C166" s="3"/>
      <c r="D166" s="16"/>
      <c r="E166" s="3"/>
      <c r="F166" s="16"/>
      <c r="G166" s="16"/>
      <c r="H166" s="16"/>
      <c r="I166" s="16"/>
      <c r="J166" s="16"/>
      <c r="K166" s="16"/>
      <c r="L166" s="16"/>
      <c r="M166" s="3"/>
      <c r="N166" s="3"/>
      <c r="O166" s="16"/>
      <c r="P166" s="16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2.75" customHeight="1">
      <c r="A167" s="16"/>
      <c r="B167" s="16"/>
      <c r="C167" s="3"/>
      <c r="D167" s="16"/>
      <c r="E167" s="3"/>
      <c r="F167" s="16"/>
      <c r="G167" s="16"/>
      <c r="H167" s="16"/>
      <c r="I167" s="16"/>
      <c r="J167" s="16"/>
      <c r="K167" s="16"/>
      <c r="L167" s="16"/>
      <c r="M167" s="3"/>
      <c r="N167" s="3"/>
      <c r="O167" s="16"/>
      <c r="P167" s="16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2.75" customHeight="1">
      <c r="A168" s="16"/>
      <c r="B168" s="16"/>
      <c r="C168" s="3"/>
      <c r="D168" s="16"/>
      <c r="E168" s="3"/>
      <c r="F168" s="16"/>
      <c r="G168" s="16"/>
      <c r="H168" s="16"/>
      <c r="I168" s="16"/>
      <c r="J168" s="16"/>
      <c r="K168" s="16"/>
      <c r="L168" s="16"/>
      <c r="M168" s="3"/>
      <c r="N168" s="3"/>
      <c r="O168" s="16"/>
      <c r="P168" s="16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2.75" customHeight="1">
      <c r="A169" s="16"/>
      <c r="B169" s="16"/>
      <c r="C169" s="3"/>
      <c r="D169" s="16"/>
      <c r="E169" s="3"/>
      <c r="F169" s="16"/>
      <c r="G169" s="16"/>
      <c r="H169" s="16"/>
      <c r="I169" s="16"/>
      <c r="J169" s="16"/>
      <c r="K169" s="16"/>
      <c r="L169" s="16"/>
      <c r="M169" s="3"/>
      <c r="N169" s="3"/>
      <c r="O169" s="16"/>
      <c r="P169" s="16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2.75" customHeight="1">
      <c r="A170" s="16"/>
      <c r="B170" s="16"/>
      <c r="C170" s="3"/>
      <c r="D170" s="16"/>
      <c r="E170" s="3"/>
      <c r="F170" s="16"/>
      <c r="G170" s="16"/>
      <c r="H170" s="16"/>
      <c r="I170" s="16"/>
      <c r="J170" s="16"/>
      <c r="K170" s="16"/>
      <c r="L170" s="16"/>
      <c r="M170" s="3"/>
      <c r="N170" s="3"/>
      <c r="O170" s="16"/>
      <c r="P170" s="16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2.75" customHeight="1">
      <c r="A171" s="16"/>
      <c r="B171" s="16"/>
      <c r="C171" s="3"/>
      <c r="D171" s="16"/>
      <c r="E171" s="3"/>
      <c r="F171" s="16"/>
      <c r="G171" s="16"/>
      <c r="H171" s="16"/>
      <c r="I171" s="16"/>
      <c r="J171" s="16"/>
      <c r="K171" s="16"/>
      <c r="L171" s="16"/>
      <c r="M171" s="3"/>
      <c r="N171" s="3"/>
      <c r="O171" s="16"/>
      <c r="P171" s="16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2.75" customHeight="1">
      <c r="A172" s="16"/>
      <c r="B172" s="16"/>
      <c r="C172" s="3"/>
      <c r="D172" s="16"/>
      <c r="E172" s="3"/>
      <c r="F172" s="16"/>
      <c r="G172" s="16"/>
      <c r="H172" s="16"/>
      <c r="I172" s="16"/>
      <c r="J172" s="16"/>
      <c r="K172" s="16"/>
      <c r="L172" s="16"/>
      <c r="M172" s="3"/>
      <c r="N172" s="3"/>
      <c r="O172" s="16"/>
      <c r="P172" s="16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2.75" customHeight="1">
      <c r="A173" s="16"/>
      <c r="B173" s="16"/>
      <c r="C173" s="3"/>
      <c r="D173" s="16"/>
      <c r="E173" s="3"/>
      <c r="F173" s="16"/>
      <c r="G173" s="16"/>
      <c r="H173" s="16"/>
      <c r="I173" s="16"/>
      <c r="J173" s="16"/>
      <c r="K173" s="16"/>
      <c r="L173" s="16"/>
      <c r="M173" s="3"/>
      <c r="N173" s="3"/>
      <c r="O173" s="16"/>
      <c r="P173" s="16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2.75" customHeight="1">
      <c r="A174" s="16"/>
      <c r="B174" s="16"/>
      <c r="C174" s="3"/>
      <c r="D174" s="16"/>
      <c r="E174" s="3"/>
      <c r="F174" s="16"/>
      <c r="G174" s="16"/>
      <c r="H174" s="16"/>
      <c r="I174" s="16"/>
      <c r="J174" s="16"/>
      <c r="K174" s="16"/>
      <c r="L174" s="16"/>
      <c r="M174" s="3"/>
      <c r="N174" s="3"/>
      <c r="O174" s="16"/>
      <c r="P174" s="16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2.75" customHeight="1">
      <c r="A175" s="16"/>
      <c r="B175" s="16"/>
      <c r="C175" s="3"/>
      <c r="D175" s="16"/>
      <c r="E175" s="3"/>
      <c r="F175" s="16"/>
      <c r="G175" s="16"/>
      <c r="H175" s="16"/>
      <c r="I175" s="16"/>
      <c r="J175" s="16"/>
      <c r="K175" s="16"/>
      <c r="L175" s="16"/>
      <c r="M175" s="3"/>
      <c r="N175" s="3"/>
      <c r="O175" s="16"/>
      <c r="P175" s="16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2.75" customHeight="1">
      <c r="A176" s="16"/>
      <c r="B176" s="16"/>
      <c r="C176" s="3"/>
      <c r="D176" s="16"/>
      <c r="E176" s="3"/>
      <c r="F176" s="16"/>
      <c r="G176" s="16"/>
      <c r="H176" s="16"/>
      <c r="I176" s="16"/>
      <c r="J176" s="16"/>
      <c r="K176" s="16"/>
      <c r="L176" s="16"/>
      <c r="M176" s="3"/>
      <c r="N176" s="3"/>
      <c r="O176" s="16"/>
      <c r="P176" s="16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2.75" customHeight="1">
      <c r="A177" s="16"/>
      <c r="B177" s="16"/>
      <c r="C177" s="3"/>
      <c r="D177" s="16"/>
      <c r="E177" s="3"/>
      <c r="F177" s="16"/>
      <c r="G177" s="16"/>
      <c r="H177" s="16"/>
      <c r="I177" s="16"/>
      <c r="J177" s="16"/>
      <c r="K177" s="16"/>
      <c r="L177" s="16"/>
      <c r="M177" s="3"/>
      <c r="N177" s="3"/>
      <c r="O177" s="16"/>
      <c r="P177" s="16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2.75" customHeight="1">
      <c r="A178" s="16"/>
      <c r="B178" s="16"/>
      <c r="C178" s="3"/>
      <c r="D178" s="16"/>
      <c r="E178" s="3"/>
      <c r="F178" s="16"/>
      <c r="G178" s="16"/>
      <c r="H178" s="16"/>
      <c r="I178" s="16"/>
      <c r="J178" s="16"/>
      <c r="K178" s="16"/>
      <c r="L178" s="16"/>
      <c r="M178" s="3"/>
      <c r="N178" s="3"/>
      <c r="O178" s="16"/>
      <c r="P178" s="16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2.75" customHeight="1">
      <c r="A179" s="16"/>
      <c r="B179" s="16"/>
      <c r="C179" s="3"/>
      <c r="D179" s="16"/>
      <c r="E179" s="3"/>
      <c r="F179" s="16"/>
      <c r="G179" s="16"/>
      <c r="H179" s="16"/>
      <c r="I179" s="16"/>
      <c r="J179" s="16"/>
      <c r="K179" s="16"/>
      <c r="L179" s="16"/>
      <c r="M179" s="3"/>
      <c r="N179" s="3"/>
      <c r="O179" s="16"/>
      <c r="P179" s="16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2.75" customHeight="1">
      <c r="A180" s="16"/>
      <c r="B180" s="16"/>
      <c r="C180" s="3"/>
      <c r="D180" s="16"/>
      <c r="E180" s="3"/>
      <c r="F180" s="16"/>
      <c r="G180" s="16"/>
      <c r="H180" s="16"/>
      <c r="I180" s="16"/>
      <c r="J180" s="16"/>
      <c r="K180" s="16"/>
      <c r="L180" s="16"/>
      <c r="M180" s="3"/>
      <c r="N180" s="3"/>
      <c r="O180" s="16"/>
      <c r="P180" s="16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2.75" customHeight="1">
      <c r="A181" s="16"/>
      <c r="B181" s="16"/>
      <c r="C181" s="3"/>
      <c r="D181" s="16"/>
      <c r="E181" s="3"/>
      <c r="F181" s="16"/>
      <c r="G181" s="16"/>
      <c r="H181" s="16"/>
      <c r="I181" s="16"/>
      <c r="J181" s="16"/>
      <c r="K181" s="16"/>
      <c r="L181" s="16"/>
      <c r="M181" s="3"/>
      <c r="N181" s="3"/>
      <c r="O181" s="16"/>
      <c r="P181" s="16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2.75" customHeight="1">
      <c r="A182" s="16"/>
      <c r="B182" s="16"/>
      <c r="C182" s="3"/>
      <c r="D182" s="16"/>
      <c r="E182" s="3"/>
      <c r="F182" s="16"/>
      <c r="G182" s="16"/>
      <c r="H182" s="16"/>
      <c r="I182" s="16"/>
      <c r="J182" s="16"/>
      <c r="K182" s="16"/>
      <c r="L182" s="16"/>
      <c r="M182" s="3"/>
      <c r="N182" s="3"/>
      <c r="O182" s="16"/>
      <c r="P182" s="16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2.75" customHeight="1">
      <c r="A183" s="16"/>
      <c r="B183" s="16"/>
      <c r="C183" s="3"/>
      <c r="D183" s="16"/>
      <c r="E183" s="3"/>
      <c r="F183" s="16"/>
      <c r="G183" s="16"/>
      <c r="H183" s="16"/>
      <c r="I183" s="16"/>
      <c r="J183" s="16"/>
      <c r="K183" s="16"/>
      <c r="L183" s="16"/>
      <c r="M183" s="3"/>
      <c r="N183" s="3"/>
      <c r="O183" s="16"/>
      <c r="P183" s="16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2.75" customHeight="1">
      <c r="A184" s="16"/>
      <c r="B184" s="16"/>
      <c r="C184" s="3"/>
      <c r="D184" s="16"/>
      <c r="E184" s="3"/>
      <c r="F184" s="16"/>
      <c r="G184" s="16"/>
      <c r="H184" s="16"/>
      <c r="I184" s="16"/>
      <c r="J184" s="16"/>
      <c r="K184" s="16"/>
      <c r="L184" s="16"/>
      <c r="M184" s="3"/>
      <c r="N184" s="3"/>
      <c r="O184" s="16"/>
      <c r="P184" s="16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2.75" customHeight="1">
      <c r="A185" s="16"/>
      <c r="B185" s="16"/>
      <c r="C185" s="3"/>
      <c r="D185" s="16"/>
      <c r="E185" s="3"/>
      <c r="F185" s="16"/>
      <c r="G185" s="16"/>
      <c r="H185" s="16"/>
      <c r="I185" s="16"/>
      <c r="J185" s="16"/>
      <c r="K185" s="16"/>
      <c r="L185" s="16"/>
      <c r="M185" s="3"/>
      <c r="N185" s="3"/>
      <c r="O185" s="16"/>
      <c r="P185" s="16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2.75" customHeight="1">
      <c r="A186" s="16"/>
      <c r="B186" s="16"/>
      <c r="C186" s="3"/>
      <c r="D186" s="16"/>
      <c r="E186" s="3"/>
      <c r="F186" s="16"/>
      <c r="G186" s="16"/>
      <c r="H186" s="16"/>
      <c r="I186" s="16"/>
      <c r="J186" s="16"/>
      <c r="K186" s="16"/>
      <c r="L186" s="16"/>
      <c r="M186" s="3"/>
      <c r="N186" s="3"/>
      <c r="O186" s="16"/>
      <c r="P186" s="16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2.75" customHeight="1">
      <c r="A187" s="16"/>
      <c r="B187" s="16"/>
      <c r="C187" s="3"/>
      <c r="D187" s="16"/>
      <c r="E187" s="3"/>
      <c r="F187" s="16"/>
      <c r="G187" s="16"/>
      <c r="H187" s="16"/>
      <c r="I187" s="16"/>
      <c r="J187" s="16"/>
      <c r="K187" s="16"/>
      <c r="L187" s="16"/>
      <c r="M187" s="3"/>
      <c r="N187" s="3"/>
      <c r="O187" s="16"/>
      <c r="P187" s="16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2.75" customHeight="1">
      <c r="A188" s="16"/>
      <c r="B188" s="16"/>
      <c r="C188" s="3"/>
      <c r="D188" s="16"/>
      <c r="E188" s="3"/>
      <c r="F188" s="16"/>
      <c r="G188" s="16"/>
      <c r="H188" s="16"/>
      <c r="I188" s="16"/>
      <c r="J188" s="16"/>
      <c r="K188" s="16"/>
      <c r="L188" s="16"/>
      <c r="M188" s="3"/>
      <c r="N188" s="3"/>
      <c r="O188" s="16"/>
      <c r="P188" s="16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2.75" customHeight="1">
      <c r="A189" s="16"/>
      <c r="B189" s="16"/>
      <c r="C189" s="3"/>
      <c r="D189" s="16"/>
      <c r="E189" s="3"/>
      <c r="F189" s="16"/>
      <c r="G189" s="16"/>
      <c r="H189" s="16"/>
      <c r="I189" s="16"/>
      <c r="J189" s="16"/>
      <c r="K189" s="16"/>
      <c r="L189" s="16"/>
      <c r="M189" s="3"/>
      <c r="N189" s="3"/>
      <c r="O189" s="16"/>
      <c r="P189" s="16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2.75" customHeight="1">
      <c r="A190" s="16"/>
      <c r="B190" s="16"/>
      <c r="C190" s="3"/>
      <c r="D190" s="16"/>
      <c r="E190" s="3"/>
      <c r="F190" s="16"/>
      <c r="G190" s="16"/>
      <c r="H190" s="16"/>
      <c r="I190" s="16"/>
      <c r="J190" s="16"/>
      <c r="K190" s="16"/>
      <c r="L190" s="16"/>
      <c r="M190" s="3"/>
      <c r="N190" s="3"/>
      <c r="O190" s="16"/>
      <c r="P190" s="16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2.75" customHeight="1">
      <c r="A191" s="16"/>
      <c r="B191" s="16"/>
      <c r="C191" s="3"/>
      <c r="D191" s="16"/>
      <c r="E191" s="3"/>
      <c r="F191" s="16"/>
      <c r="G191" s="16"/>
      <c r="H191" s="16"/>
      <c r="I191" s="16"/>
      <c r="J191" s="16"/>
      <c r="K191" s="16"/>
      <c r="L191" s="16"/>
      <c r="M191" s="3"/>
      <c r="N191" s="3"/>
      <c r="O191" s="16"/>
      <c r="P191" s="16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2.75" customHeight="1">
      <c r="A192" s="16"/>
      <c r="B192" s="16"/>
      <c r="C192" s="3"/>
      <c r="D192" s="16"/>
      <c r="E192" s="3"/>
      <c r="F192" s="16"/>
      <c r="G192" s="16"/>
      <c r="H192" s="16"/>
      <c r="I192" s="16"/>
      <c r="J192" s="16"/>
      <c r="K192" s="16"/>
      <c r="L192" s="16"/>
      <c r="M192" s="3"/>
      <c r="N192" s="3"/>
      <c r="O192" s="16"/>
      <c r="P192" s="16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2.75" customHeight="1">
      <c r="A193" s="16"/>
      <c r="B193" s="16"/>
      <c r="C193" s="3"/>
      <c r="D193" s="16"/>
      <c r="E193" s="3"/>
      <c r="F193" s="16"/>
      <c r="G193" s="16"/>
      <c r="H193" s="16"/>
      <c r="I193" s="16"/>
      <c r="J193" s="16"/>
      <c r="K193" s="16"/>
      <c r="L193" s="16"/>
      <c r="M193" s="3"/>
      <c r="N193" s="3"/>
      <c r="O193" s="16"/>
      <c r="P193" s="16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2.75" customHeight="1">
      <c r="A194" s="16"/>
      <c r="B194" s="16"/>
      <c r="C194" s="3"/>
      <c r="D194" s="16"/>
      <c r="E194" s="3"/>
      <c r="F194" s="16"/>
      <c r="G194" s="16"/>
      <c r="H194" s="16"/>
      <c r="I194" s="16"/>
      <c r="J194" s="16"/>
      <c r="K194" s="16"/>
      <c r="L194" s="16"/>
      <c r="M194" s="3"/>
      <c r="N194" s="3"/>
      <c r="O194" s="16"/>
      <c r="P194" s="16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2.75" customHeight="1">
      <c r="A195" s="16"/>
      <c r="B195" s="16"/>
      <c r="C195" s="3"/>
      <c r="D195" s="16"/>
      <c r="E195" s="3"/>
      <c r="F195" s="16"/>
      <c r="G195" s="16"/>
      <c r="H195" s="16"/>
      <c r="I195" s="16"/>
      <c r="J195" s="16"/>
      <c r="K195" s="16"/>
      <c r="L195" s="16"/>
      <c r="M195" s="3"/>
      <c r="N195" s="3"/>
      <c r="O195" s="16"/>
      <c r="P195" s="16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2.75" customHeight="1">
      <c r="A196" s="16"/>
      <c r="B196" s="16"/>
      <c r="C196" s="3"/>
      <c r="D196" s="16"/>
      <c r="E196" s="3"/>
      <c r="F196" s="16"/>
      <c r="G196" s="16"/>
      <c r="H196" s="16"/>
      <c r="I196" s="16"/>
      <c r="J196" s="16"/>
      <c r="K196" s="16"/>
      <c r="L196" s="16"/>
      <c r="M196" s="3"/>
      <c r="N196" s="3"/>
      <c r="O196" s="16"/>
      <c r="P196" s="16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2.75" customHeight="1">
      <c r="A197" s="16"/>
      <c r="B197" s="16"/>
      <c r="C197" s="3"/>
      <c r="D197" s="16"/>
      <c r="E197" s="3"/>
      <c r="F197" s="16"/>
      <c r="G197" s="16"/>
      <c r="H197" s="16"/>
      <c r="I197" s="16"/>
      <c r="J197" s="16"/>
      <c r="K197" s="16"/>
      <c r="L197" s="16"/>
      <c r="M197" s="3"/>
      <c r="N197" s="3"/>
      <c r="O197" s="16"/>
      <c r="P197" s="16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2.75" customHeight="1">
      <c r="A198" s="16"/>
      <c r="B198" s="16"/>
      <c r="C198" s="3"/>
      <c r="D198" s="16"/>
      <c r="E198" s="3"/>
      <c r="F198" s="16"/>
      <c r="G198" s="16"/>
      <c r="H198" s="16"/>
      <c r="I198" s="16"/>
      <c r="J198" s="16"/>
      <c r="K198" s="16"/>
      <c r="L198" s="16"/>
      <c r="M198" s="3"/>
      <c r="N198" s="3"/>
      <c r="O198" s="16"/>
      <c r="P198" s="16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2.75" customHeight="1">
      <c r="A199" s="16"/>
      <c r="B199" s="16"/>
      <c r="C199" s="3"/>
      <c r="D199" s="16"/>
      <c r="E199" s="3"/>
      <c r="F199" s="16"/>
      <c r="G199" s="16"/>
      <c r="H199" s="16"/>
      <c r="I199" s="16"/>
      <c r="J199" s="16"/>
      <c r="K199" s="16"/>
      <c r="L199" s="16"/>
      <c r="M199" s="3"/>
      <c r="N199" s="3"/>
      <c r="O199" s="16"/>
      <c r="P199" s="16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2.75" customHeight="1">
      <c r="A200" s="16"/>
      <c r="B200" s="16"/>
      <c r="C200" s="3"/>
      <c r="D200" s="16"/>
      <c r="E200" s="3"/>
      <c r="F200" s="16"/>
      <c r="G200" s="16"/>
      <c r="H200" s="16"/>
      <c r="I200" s="16"/>
      <c r="J200" s="16"/>
      <c r="K200" s="16"/>
      <c r="L200" s="16"/>
      <c r="M200" s="3"/>
      <c r="N200" s="3"/>
      <c r="O200" s="16"/>
      <c r="P200" s="16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2.75" customHeight="1">
      <c r="A201" s="16"/>
      <c r="B201" s="16"/>
      <c r="C201" s="3"/>
      <c r="D201" s="16"/>
      <c r="E201" s="3"/>
      <c r="F201" s="16"/>
      <c r="G201" s="16"/>
      <c r="H201" s="16"/>
      <c r="I201" s="16"/>
      <c r="J201" s="16"/>
      <c r="K201" s="16"/>
      <c r="L201" s="16"/>
      <c r="M201" s="3"/>
      <c r="N201" s="3"/>
      <c r="O201" s="16"/>
      <c r="P201" s="16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2.75" customHeight="1">
      <c r="A202" s="16"/>
      <c r="B202" s="16"/>
      <c r="C202" s="3"/>
      <c r="D202" s="16"/>
      <c r="E202" s="3"/>
      <c r="F202" s="16"/>
      <c r="G202" s="16"/>
      <c r="H202" s="16"/>
      <c r="I202" s="16"/>
      <c r="J202" s="16"/>
      <c r="K202" s="16"/>
      <c r="L202" s="16"/>
      <c r="M202" s="3"/>
      <c r="N202" s="3"/>
      <c r="O202" s="16"/>
      <c r="P202" s="16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2.75" customHeight="1">
      <c r="A203" s="16"/>
      <c r="B203" s="16"/>
      <c r="C203" s="3"/>
      <c r="D203" s="16"/>
      <c r="E203" s="3"/>
      <c r="F203" s="16"/>
      <c r="G203" s="16"/>
      <c r="H203" s="16"/>
      <c r="I203" s="16"/>
      <c r="J203" s="16"/>
      <c r="K203" s="16"/>
      <c r="L203" s="16"/>
      <c r="M203" s="3"/>
      <c r="N203" s="3"/>
      <c r="O203" s="16"/>
      <c r="P203" s="16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2.75" customHeight="1">
      <c r="A204" s="16"/>
      <c r="B204" s="16"/>
      <c r="C204" s="3"/>
      <c r="D204" s="16"/>
      <c r="E204" s="3"/>
      <c r="F204" s="16"/>
      <c r="G204" s="16"/>
      <c r="H204" s="16"/>
      <c r="I204" s="16"/>
      <c r="J204" s="16"/>
      <c r="K204" s="16"/>
      <c r="L204" s="16"/>
      <c r="M204" s="3"/>
      <c r="N204" s="3"/>
      <c r="O204" s="16"/>
      <c r="P204" s="16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2.75" customHeight="1">
      <c r="A205" s="16"/>
      <c r="B205" s="16"/>
      <c r="C205" s="3"/>
      <c r="D205" s="16"/>
      <c r="E205" s="3"/>
      <c r="F205" s="16"/>
      <c r="G205" s="16"/>
      <c r="H205" s="16"/>
      <c r="I205" s="16"/>
      <c r="J205" s="16"/>
      <c r="K205" s="16"/>
      <c r="L205" s="16"/>
      <c r="M205" s="3"/>
      <c r="N205" s="3"/>
      <c r="O205" s="16"/>
      <c r="P205" s="16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2.75" customHeight="1">
      <c r="A206" s="16"/>
      <c r="B206" s="16"/>
      <c r="C206" s="3"/>
      <c r="D206" s="16"/>
      <c r="E206" s="3"/>
      <c r="F206" s="16"/>
      <c r="G206" s="16"/>
      <c r="H206" s="16"/>
      <c r="I206" s="16"/>
      <c r="J206" s="16"/>
      <c r="K206" s="16"/>
      <c r="L206" s="16"/>
      <c r="M206" s="3"/>
      <c r="N206" s="3"/>
      <c r="O206" s="16"/>
      <c r="P206" s="16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2.75" customHeight="1">
      <c r="A207" s="16"/>
      <c r="B207" s="16"/>
      <c r="C207" s="3"/>
      <c r="D207" s="16"/>
      <c r="E207" s="3"/>
      <c r="F207" s="16"/>
      <c r="G207" s="16"/>
      <c r="H207" s="16"/>
      <c r="I207" s="16"/>
      <c r="J207" s="16"/>
      <c r="K207" s="16"/>
      <c r="L207" s="16"/>
      <c r="M207" s="3"/>
      <c r="N207" s="3"/>
      <c r="O207" s="16"/>
      <c r="P207" s="16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2.75" customHeight="1">
      <c r="A208" s="16"/>
      <c r="B208" s="16"/>
      <c r="C208" s="3"/>
      <c r="D208" s="16"/>
      <c r="E208" s="3"/>
      <c r="F208" s="16"/>
      <c r="G208" s="16"/>
      <c r="H208" s="16"/>
      <c r="I208" s="16"/>
      <c r="J208" s="16"/>
      <c r="K208" s="16"/>
      <c r="L208" s="16"/>
      <c r="M208" s="3"/>
      <c r="N208" s="3"/>
      <c r="O208" s="16"/>
      <c r="P208" s="16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2.75" customHeight="1">
      <c r="A209" s="16"/>
      <c r="B209" s="16"/>
      <c r="C209" s="3"/>
      <c r="D209" s="16"/>
      <c r="E209" s="3"/>
      <c r="F209" s="16"/>
      <c r="G209" s="16"/>
      <c r="H209" s="16"/>
      <c r="I209" s="16"/>
      <c r="J209" s="16"/>
      <c r="K209" s="16"/>
      <c r="L209" s="16"/>
      <c r="M209" s="3"/>
      <c r="N209" s="3"/>
      <c r="O209" s="16"/>
      <c r="P209" s="16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2.75" customHeight="1">
      <c r="A210" s="16"/>
      <c r="B210" s="16"/>
      <c r="C210" s="3"/>
      <c r="D210" s="16"/>
      <c r="E210" s="3"/>
      <c r="F210" s="16"/>
      <c r="G210" s="16"/>
      <c r="H210" s="16"/>
      <c r="I210" s="16"/>
      <c r="J210" s="16"/>
      <c r="K210" s="16"/>
      <c r="L210" s="16"/>
      <c r="M210" s="3"/>
      <c r="N210" s="3"/>
      <c r="O210" s="16"/>
      <c r="P210" s="16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2.75" customHeight="1">
      <c r="A211" s="16"/>
      <c r="B211" s="16"/>
      <c r="C211" s="3"/>
      <c r="D211" s="16"/>
      <c r="E211" s="3"/>
      <c r="F211" s="16"/>
      <c r="G211" s="16"/>
      <c r="H211" s="16"/>
      <c r="I211" s="16"/>
      <c r="J211" s="16"/>
      <c r="K211" s="16"/>
      <c r="L211" s="16"/>
      <c r="M211" s="3"/>
      <c r="N211" s="3"/>
      <c r="O211" s="16"/>
      <c r="P211" s="16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2.75" customHeight="1">
      <c r="A212" s="16"/>
      <c r="B212" s="16"/>
      <c r="C212" s="3"/>
      <c r="D212" s="16"/>
      <c r="E212" s="3"/>
      <c r="F212" s="16"/>
      <c r="G212" s="16"/>
      <c r="H212" s="16"/>
      <c r="I212" s="16"/>
      <c r="J212" s="16"/>
      <c r="K212" s="16"/>
      <c r="L212" s="16"/>
      <c r="M212" s="3"/>
      <c r="N212" s="3"/>
      <c r="O212" s="16"/>
      <c r="P212" s="16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2.75" customHeight="1">
      <c r="A213" s="16"/>
      <c r="B213" s="16"/>
      <c r="C213" s="3"/>
      <c r="D213" s="16"/>
      <c r="E213" s="3"/>
      <c r="F213" s="16"/>
      <c r="G213" s="16"/>
      <c r="H213" s="16"/>
      <c r="I213" s="16"/>
      <c r="J213" s="16"/>
      <c r="K213" s="16"/>
      <c r="L213" s="16"/>
      <c r="M213" s="3"/>
      <c r="N213" s="3"/>
      <c r="O213" s="16"/>
      <c r="P213" s="16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2.75" customHeight="1">
      <c r="A214" s="16"/>
      <c r="B214" s="16"/>
      <c r="C214" s="3"/>
      <c r="D214" s="16"/>
      <c r="E214" s="3"/>
      <c r="F214" s="16"/>
      <c r="G214" s="16"/>
      <c r="H214" s="16"/>
      <c r="I214" s="16"/>
      <c r="J214" s="16"/>
      <c r="K214" s="16"/>
      <c r="L214" s="16"/>
      <c r="M214" s="3"/>
      <c r="N214" s="3"/>
      <c r="O214" s="16"/>
      <c r="P214" s="16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2.75" customHeight="1">
      <c r="A215" s="16"/>
      <c r="B215" s="16"/>
      <c r="C215" s="3"/>
      <c r="D215" s="16"/>
      <c r="E215" s="3"/>
      <c r="F215" s="16"/>
      <c r="G215" s="16"/>
      <c r="H215" s="16"/>
      <c r="I215" s="16"/>
      <c r="J215" s="16"/>
      <c r="K215" s="16"/>
      <c r="L215" s="16"/>
      <c r="M215" s="3"/>
      <c r="N215" s="3"/>
      <c r="O215" s="16"/>
      <c r="P215" s="16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2.75" customHeight="1">
      <c r="A216" s="16"/>
      <c r="B216" s="16"/>
      <c r="C216" s="3"/>
      <c r="D216" s="16"/>
      <c r="E216" s="3"/>
      <c r="F216" s="16"/>
      <c r="G216" s="16"/>
      <c r="H216" s="16"/>
      <c r="I216" s="16"/>
      <c r="J216" s="16"/>
      <c r="K216" s="16"/>
      <c r="L216" s="16"/>
      <c r="M216" s="3"/>
      <c r="N216" s="3"/>
      <c r="O216" s="16"/>
      <c r="P216" s="16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2.75" customHeight="1">
      <c r="A217" s="16"/>
      <c r="B217" s="16"/>
      <c r="C217" s="3"/>
      <c r="D217" s="16"/>
      <c r="E217" s="3"/>
      <c r="F217" s="16"/>
      <c r="G217" s="16"/>
      <c r="H217" s="16"/>
      <c r="I217" s="16"/>
      <c r="J217" s="16"/>
      <c r="K217" s="16"/>
      <c r="L217" s="16"/>
      <c r="M217" s="3"/>
      <c r="N217" s="3"/>
      <c r="O217" s="16"/>
      <c r="P217" s="16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2.75" customHeight="1">
      <c r="A218" s="16"/>
      <c r="B218" s="16"/>
      <c r="C218" s="3"/>
      <c r="D218" s="16"/>
      <c r="E218" s="3"/>
      <c r="F218" s="16"/>
      <c r="G218" s="16"/>
      <c r="H218" s="16"/>
      <c r="I218" s="16"/>
      <c r="J218" s="16"/>
      <c r="K218" s="16"/>
      <c r="L218" s="16"/>
      <c r="M218" s="3"/>
      <c r="N218" s="3"/>
      <c r="O218" s="16"/>
      <c r="P218" s="16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2.75" customHeight="1">
      <c r="A219" s="16"/>
      <c r="B219" s="16"/>
      <c r="C219" s="3"/>
      <c r="D219" s="16"/>
      <c r="E219" s="3"/>
      <c r="F219" s="16"/>
      <c r="G219" s="16"/>
      <c r="H219" s="16"/>
      <c r="I219" s="16"/>
      <c r="J219" s="16"/>
      <c r="K219" s="16"/>
      <c r="L219" s="16"/>
      <c r="M219" s="3"/>
      <c r="N219" s="3"/>
      <c r="O219" s="16"/>
      <c r="P219" s="16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2.75" customHeight="1">
      <c r="A220" s="16"/>
      <c r="B220" s="16"/>
      <c r="C220" s="3"/>
      <c r="D220" s="16"/>
      <c r="E220" s="3"/>
      <c r="F220" s="16"/>
      <c r="G220" s="16"/>
      <c r="H220" s="16"/>
      <c r="I220" s="16"/>
      <c r="J220" s="16"/>
      <c r="K220" s="16"/>
      <c r="L220" s="16"/>
      <c r="M220" s="3"/>
      <c r="N220" s="3"/>
      <c r="O220" s="16"/>
      <c r="P220" s="16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2.75" customHeight="1">
      <c r="A221" s="16"/>
      <c r="B221" s="16"/>
      <c r="C221" s="3"/>
      <c r="D221" s="16"/>
      <c r="E221" s="3"/>
      <c r="F221" s="16"/>
      <c r="G221" s="16"/>
      <c r="H221" s="16"/>
      <c r="I221" s="16"/>
      <c r="J221" s="16"/>
      <c r="K221" s="16"/>
      <c r="L221" s="16"/>
      <c r="M221" s="3"/>
      <c r="N221" s="3"/>
      <c r="O221" s="16"/>
      <c r="P221" s="16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2.75" customHeight="1">
      <c r="A222" s="16"/>
      <c r="B222" s="16"/>
      <c r="C222" s="3"/>
      <c r="D222" s="16"/>
      <c r="E222" s="3"/>
      <c r="F222" s="16"/>
      <c r="G222" s="16"/>
      <c r="H222" s="16"/>
      <c r="I222" s="16"/>
      <c r="J222" s="16"/>
      <c r="K222" s="16"/>
      <c r="L222" s="16"/>
      <c r="M222" s="3"/>
      <c r="N222" s="3"/>
      <c r="O222" s="16"/>
      <c r="P222" s="16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2.75" customHeight="1">
      <c r="A223" s="16"/>
      <c r="B223" s="16"/>
      <c r="C223" s="3"/>
      <c r="D223" s="16"/>
      <c r="E223" s="3"/>
      <c r="F223" s="16"/>
      <c r="G223" s="16"/>
      <c r="H223" s="16"/>
      <c r="I223" s="16"/>
      <c r="J223" s="16"/>
      <c r="K223" s="16"/>
      <c r="L223" s="16"/>
      <c r="M223" s="3"/>
      <c r="N223" s="3"/>
      <c r="O223" s="16"/>
      <c r="P223" s="16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2.75" customHeight="1">
      <c r="A224" s="16"/>
      <c r="B224" s="16"/>
      <c r="C224" s="3"/>
      <c r="D224" s="16"/>
      <c r="E224" s="3"/>
      <c r="F224" s="16"/>
      <c r="G224" s="16"/>
      <c r="H224" s="16"/>
      <c r="I224" s="16"/>
      <c r="J224" s="16"/>
      <c r="K224" s="16"/>
      <c r="L224" s="16"/>
      <c r="M224" s="3"/>
      <c r="N224" s="3"/>
      <c r="O224" s="16"/>
      <c r="P224" s="16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2.75" customHeight="1">
      <c r="A225" s="16"/>
      <c r="B225" s="16"/>
      <c r="C225" s="3"/>
      <c r="D225" s="16"/>
      <c r="E225" s="3"/>
      <c r="F225" s="16"/>
      <c r="G225" s="16"/>
      <c r="H225" s="16"/>
      <c r="I225" s="16"/>
      <c r="J225" s="16"/>
      <c r="K225" s="16"/>
      <c r="L225" s="16"/>
      <c r="M225" s="3"/>
      <c r="N225" s="3"/>
      <c r="O225" s="16"/>
      <c r="P225" s="16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2.75" customHeight="1">
      <c r="A226" s="16"/>
      <c r="B226" s="16"/>
      <c r="C226" s="3"/>
      <c r="D226" s="16"/>
      <c r="E226" s="3"/>
      <c r="F226" s="16"/>
      <c r="G226" s="16"/>
      <c r="H226" s="16"/>
      <c r="I226" s="16"/>
      <c r="J226" s="16"/>
      <c r="K226" s="16"/>
      <c r="L226" s="16"/>
      <c r="M226" s="3"/>
      <c r="N226" s="3"/>
      <c r="O226" s="16"/>
      <c r="P226" s="16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2.75" customHeight="1">
      <c r="A227" s="16"/>
      <c r="B227" s="16"/>
      <c r="C227" s="3"/>
      <c r="D227" s="16"/>
      <c r="E227" s="3"/>
      <c r="F227" s="16"/>
      <c r="G227" s="16"/>
      <c r="H227" s="16"/>
      <c r="I227" s="16"/>
      <c r="J227" s="16"/>
      <c r="K227" s="16"/>
      <c r="L227" s="16"/>
      <c r="M227" s="3"/>
      <c r="N227" s="3"/>
      <c r="O227" s="16"/>
      <c r="P227" s="16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2.75" customHeight="1">
      <c r="A228" s="16"/>
      <c r="B228" s="16"/>
      <c r="C228" s="3"/>
      <c r="D228" s="16"/>
      <c r="E228" s="3"/>
      <c r="F228" s="16"/>
      <c r="G228" s="16"/>
      <c r="H228" s="16"/>
      <c r="I228" s="16"/>
      <c r="J228" s="16"/>
      <c r="K228" s="16"/>
      <c r="L228" s="16"/>
      <c r="M228" s="3"/>
      <c r="N228" s="3"/>
      <c r="O228" s="16"/>
      <c r="P228" s="16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2.75" customHeight="1">
      <c r="A229" s="16"/>
      <c r="B229" s="16"/>
      <c r="C229" s="3"/>
      <c r="D229" s="16"/>
      <c r="E229" s="3"/>
      <c r="F229" s="16"/>
      <c r="G229" s="16"/>
      <c r="H229" s="16"/>
      <c r="I229" s="16"/>
      <c r="J229" s="16"/>
      <c r="K229" s="16"/>
      <c r="L229" s="16"/>
      <c r="M229" s="3"/>
      <c r="N229" s="3"/>
      <c r="O229" s="16"/>
      <c r="P229" s="16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2.75" customHeight="1">
      <c r="A230" s="16"/>
      <c r="B230" s="16"/>
      <c r="C230" s="3"/>
      <c r="D230" s="16"/>
      <c r="E230" s="3"/>
      <c r="F230" s="16"/>
      <c r="G230" s="16"/>
      <c r="H230" s="16"/>
      <c r="I230" s="16"/>
      <c r="J230" s="16"/>
      <c r="K230" s="16"/>
      <c r="L230" s="16"/>
      <c r="M230" s="3"/>
      <c r="N230" s="3"/>
      <c r="O230" s="16"/>
      <c r="P230" s="16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2.75" customHeight="1">
      <c r="A231" s="16"/>
      <c r="B231" s="16"/>
      <c r="C231" s="3"/>
      <c r="D231" s="16"/>
      <c r="E231" s="3"/>
      <c r="F231" s="16"/>
      <c r="G231" s="16"/>
      <c r="H231" s="16"/>
      <c r="I231" s="16"/>
      <c r="J231" s="16"/>
      <c r="K231" s="16"/>
      <c r="L231" s="16"/>
      <c r="M231" s="3"/>
      <c r="N231" s="3"/>
      <c r="O231" s="16"/>
      <c r="P231" s="16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2.75" customHeight="1">
      <c r="A232" s="16"/>
      <c r="B232" s="16"/>
      <c r="C232" s="3"/>
      <c r="D232" s="16"/>
      <c r="E232" s="3"/>
      <c r="F232" s="16"/>
      <c r="G232" s="16"/>
      <c r="H232" s="16"/>
      <c r="I232" s="16"/>
      <c r="J232" s="16"/>
      <c r="K232" s="16"/>
      <c r="L232" s="16"/>
      <c r="M232" s="3"/>
      <c r="N232" s="3"/>
      <c r="O232" s="16"/>
      <c r="P232" s="16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2.75" customHeight="1">
      <c r="A233" s="16"/>
      <c r="B233" s="16"/>
      <c r="C233" s="3"/>
      <c r="D233" s="16"/>
      <c r="E233" s="3"/>
      <c r="F233" s="16"/>
      <c r="G233" s="16"/>
      <c r="H233" s="16"/>
      <c r="I233" s="16"/>
      <c r="J233" s="16"/>
      <c r="K233" s="16"/>
      <c r="L233" s="16"/>
      <c r="M233" s="3"/>
      <c r="N233" s="3"/>
      <c r="O233" s="16"/>
      <c r="P233" s="16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2.75" customHeight="1">
      <c r="A234" s="16"/>
      <c r="B234" s="16"/>
      <c r="C234" s="3"/>
      <c r="D234" s="16"/>
      <c r="E234" s="3"/>
      <c r="F234" s="16"/>
      <c r="G234" s="16"/>
      <c r="H234" s="16"/>
      <c r="I234" s="16"/>
      <c r="J234" s="16"/>
      <c r="K234" s="16"/>
      <c r="L234" s="16"/>
      <c r="M234" s="3"/>
      <c r="N234" s="3"/>
      <c r="O234" s="16"/>
      <c r="P234" s="16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2.75" customHeight="1">
      <c r="A235" s="16"/>
      <c r="B235" s="16"/>
      <c r="C235" s="3"/>
      <c r="D235" s="16"/>
      <c r="E235" s="3"/>
      <c r="F235" s="16"/>
      <c r="G235" s="16"/>
      <c r="H235" s="16"/>
      <c r="I235" s="16"/>
      <c r="J235" s="16"/>
      <c r="K235" s="16"/>
      <c r="L235" s="16"/>
      <c r="M235" s="3"/>
      <c r="N235" s="3"/>
      <c r="O235" s="16"/>
      <c r="P235" s="16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2.75" customHeight="1">
      <c r="A236" s="16"/>
      <c r="B236" s="16"/>
      <c r="C236" s="3"/>
      <c r="D236" s="16"/>
      <c r="E236" s="3"/>
      <c r="F236" s="16"/>
      <c r="G236" s="16"/>
      <c r="H236" s="16"/>
      <c r="I236" s="16"/>
      <c r="J236" s="16"/>
      <c r="K236" s="16"/>
      <c r="L236" s="16"/>
      <c r="M236" s="3"/>
      <c r="N236" s="3"/>
      <c r="O236" s="16"/>
      <c r="P236" s="16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2.75" customHeight="1">
      <c r="A237" s="16"/>
      <c r="B237" s="16"/>
      <c r="C237" s="3"/>
      <c r="D237" s="16"/>
      <c r="E237" s="3"/>
      <c r="F237" s="16"/>
      <c r="G237" s="16"/>
      <c r="H237" s="16"/>
      <c r="I237" s="16"/>
      <c r="J237" s="16"/>
      <c r="K237" s="16"/>
      <c r="L237" s="16"/>
      <c r="M237" s="3"/>
      <c r="N237" s="3"/>
      <c r="O237" s="16"/>
      <c r="P237" s="16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2.75" customHeight="1">
      <c r="A238" s="16"/>
      <c r="B238" s="16"/>
      <c r="C238" s="3"/>
      <c r="D238" s="16"/>
      <c r="E238" s="3"/>
      <c r="F238" s="16"/>
      <c r="G238" s="16"/>
      <c r="H238" s="16"/>
      <c r="I238" s="16"/>
      <c r="J238" s="16"/>
      <c r="K238" s="16"/>
      <c r="L238" s="16"/>
      <c r="M238" s="3"/>
      <c r="N238" s="3"/>
      <c r="O238" s="16"/>
      <c r="P238" s="16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2.75" customHeight="1">
      <c r="A239" s="16"/>
      <c r="B239" s="16"/>
      <c r="C239" s="3"/>
      <c r="D239" s="16"/>
      <c r="E239" s="3"/>
      <c r="F239" s="16"/>
      <c r="G239" s="16"/>
      <c r="H239" s="16"/>
      <c r="I239" s="16"/>
      <c r="J239" s="16"/>
      <c r="K239" s="16"/>
      <c r="L239" s="16"/>
      <c r="M239" s="3"/>
      <c r="N239" s="3"/>
      <c r="O239" s="16"/>
      <c r="P239" s="16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2.75" customHeight="1">
      <c r="A240" s="16"/>
      <c r="B240" s="16"/>
      <c r="C240" s="3"/>
      <c r="D240" s="16"/>
      <c r="E240" s="3"/>
      <c r="F240" s="16"/>
      <c r="G240" s="16"/>
      <c r="H240" s="16"/>
      <c r="I240" s="16"/>
      <c r="J240" s="16"/>
      <c r="K240" s="16"/>
      <c r="L240" s="16"/>
      <c r="M240" s="3"/>
      <c r="N240" s="3"/>
      <c r="O240" s="16"/>
      <c r="P240" s="16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2.75" customHeight="1">
      <c r="A241" s="16"/>
      <c r="B241" s="16"/>
      <c r="C241" s="3"/>
      <c r="D241" s="16"/>
      <c r="E241" s="3"/>
      <c r="F241" s="16"/>
      <c r="G241" s="16"/>
      <c r="H241" s="16"/>
      <c r="I241" s="16"/>
      <c r="J241" s="16"/>
      <c r="K241" s="16"/>
      <c r="L241" s="16"/>
      <c r="M241" s="3"/>
      <c r="N241" s="3"/>
      <c r="O241" s="16"/>
      <c r="P241" s="16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2.75" customHeight="1">
      <c r="A242" s="16"/>
      <c r="B242" s="16"/>
      <c r="C242" s="3"/>
      <c r="D242" s="16"/>
      <c r="E242" s="3"/>
      <c r="F242" s="16"/>
      <c r="G242" s="16"/>
      <c r="H242" s="16"/>
      <c r="I242" s="16"/>
      <c r="J242" s="16"/>
      <c r="K242" s="16"/>
      <c r="L242" s="16"/>
      <c r="M242" s="3"/>
      <c r="N242" s="3"/>
      <c r="O242" s="16"/>
      <c r="P242" s="16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2.75" customHeight="1">
      <c r="A243" s="16"/>
      <c r="B243" s="16"/>
      <c r="C243" s="3"/>
      <c r="D243" s="16"/>
      <c r="E243" s="3"/>
      <c r="F243" s="16"/>
      <c r="G243" s="16"/>
      <c r="H243" s="16"/>
      <c r="I243" s="16"/>
      <c r="J243" s="16"/>
      <c r="K243" s="16"/>
      <c r="L243" s="16"/>
      <c r="M243" s="3"/>
      <c r="N243" s="3"/>
      <c r="O243" s="16"/>
      <c r="P243" s="16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2.75" customHeight="1">
      <c r="A244" s="16"/>
      <c r="B244" s="16"/>
      <c r="C244" s="3"/>
      <c r="D244" s="16"/>
      <c r="E244" s="3"/>
      <c r="F244" s="16"/>
      <c r="G244" s="16"/>
      <c r="H244" s="16"/>
      <c r="I244" s="16"/>
      <c r="J244" s="16"/>
      <c r="K244" s="16"/>
      <c r="L244" s="16"/>
      <c r="M244" s="3"/>
      <c r="N244" s="3"/>
      <c r="O244" s="16"/>
      <c r="P244" s="16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2.75" customHeight="1">
      <c r="A245" s="16"/>
      <c r="B245" s="16"/>
      <c r="C245" s="3"/>
      <c r="D245" s="16"/>
      <c r="E245" s="3"/>
      <c r="F245" s="16"/>
      <c r="G245" s="16"/>
      <c r="H245" s="16"/>
      <c r="I245" s="16"/>
      <c r="J245" s="16"/>
      <c r="K245" s="16"/>
      <c r="L245" s="16"/>
      <c r="M245" s="3"/>
      <c r="N245" s="3"/>
      <c r="O245" s="16"/>
      <c r="P245" s="16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2.75" customHeight="1">
      <c r="A246" s="16"/>
      <c r="B246" s="16"/>
      <c r="C246" s="3"/>
      <c r="D246" s="16"/>
      <c r="E246" s="3"/>
      <c r="F246" s="16"/>
      <c r="G246" s="16"/>
      <c r="H246" s="16"/>
      <c r="I246" s="16"/>
      <c r="J246" s="16"/>
      <c r="K246" s="16"/>
      <c r="L246" s="16"/>
      <c r="M246" s="3"/>
      <c r="N246" s="3"/>
      <c r="O246" s="16"/>
      <c r="P246" s="16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2.75" customHeight="1">
      <c r="A247" s="16"/>
      <c r="B247" s="16"/>
      <c r="C247" s="3"/>
      <c r="D247" s="16"/>
      <c r="E247" s="3"/>
      <c r="F247" s="16"/>
      <c r="G247" s="16"/>
      <c r="H247" s="16"/>
      <c r="I247" s="16"/>
      <c r="J247" s="16"/>
      <c r="K247" s="16"/>
      <c r="L247" s="16"/>
      <c r="M247" s="3"/>
      <c r="N247" s="3"/>
      <c r="O247" s="16"/>
      <c r="P247" s="16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2.75" customHeight="1">
      <c r="A248" s="16"/>
      <c r="B248" s="16"/>
      <c r="C248" s="3"/>
      <c r="D248" s="16"/>
      <c r="E248" s="3"/>
      <c r="F248" s="16"/>
      <c r="G248" s="16"/>
      <c r="H248" s="16"/>
      <c r="I248" s="16"/>
      <c r="J248" s="16"/>
      <c r="K248" s="16"/>
      <c r="L248" s="16"/>
      <c r="M248" s="3"/>
      <c r="N248" s="3"/>
      <c r="O248" s="16"/>
      <c r="P248" s="16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2.75" customHeight="1">
      <c r="A249" s="16"/>
      <c r="B249" s="16"/>
      <c r="C249" s="3"/>
      <c r="D249" s="16"/>
      <c r="E249" s="3"/>
      <c r="F249" s="16"/>
      <c r="G249" s="16"/>
      <c r="H249" s="16"/>
      <c r="I249" s="16"/>
      <c r="J249" s="16"/>
      <c r="K249" s="16"/>
      <c r="L249" s="16"/>
      <c r="M249" s="3"/>
      <c r="N249" s="3"/>
      <c r="O249" s="16"/>
      <c r="P249" s="16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2.75" customHeight="1">
      <c r="A250" s="16"/>
      <c r="B250" s="16"/>
      <c r="C250" s="3"/>
      <c r="D250" s="16"/>
      <c r="E250" s="3"/>
      <c r="F250" s="16"/>
      <c r="G250" s="16"/>
      <c r="H250" s="16"/>
      <c r="I250" s="16"/>
      <c r="J250" s="16"/>
      <c r="K250" s="16"/>
      <c r="L250" s="16"/>
      <c r="M250" s="3"/>
      <c r="N250" s="3"/>
      <c r="O250" s="16"/>
      <c r="P250" s="16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2.75" customHeight="1">
      <c r="A251" s="16"/>
      <c r="B251" s="16"/>
      <c r="C251" s="3"/>
      <c r="D251" s="16"/>
      <c r="E251" s="3"/>
      <c r="F251" s="16"/>
      <c r="G251" s="16"/>
      <c r="H251" s="16"/>
      <c r="I251" s="16"/>
      <c r="J251" s="16"/>
      <c r="K251" s="16"/>
      <c r="L251" s="16"/>
      <c r="M251" s="3"/>
      <c r="N251" s="3"/>
      <c r="O251" s="16"/>
      <c r="P251" s="16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2.75" customHeight="1">
      <c r="A252" s="16"/>
      <c r="B252" s="16"/>
      <c r="C252" s="3"/>
      <c r="D252" s="16"/>
      <c r="E252" s="3"/>
      <c r="F252" s="16"/>
      <c r="G252" s="16"/>
      <c r="H252" s="16"/>
      <c r="I252" s="16"/>
      <c r="J252" s="16"/>
      <c r="K252" s="16"/>
      <c r="L252" s="16"/>
      <c r="M252" s="3"/>
      <c r="N252" s="3"/>
      <c r="O252" s="16"/>
      <c r="P252" s="16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2.75" customHeight="1">
      <c r="A253" s="16"/>
      <c r="B253" s="16"/>
      <c r="C253" s="3"/>
      <c r="D253" s="16"/>
      <c r="E253" s="3"/>
      <c r="F253" s="16"/>
      <c r="G253" s="16"/>
      <c r="H253" s="16"/>
      <c r="I253" s="16"/>
      <c r="J253" s="16"/>
      <c r="K253" s="16"/>
      <c r="L253" s="16"/>
      <c r="M253" s="3"/>
      <c r="N253" s="3"/>
      <c r="O253" s="16"/>
      <c r="P253" s="16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2.75" customHeight="1">
      <c r="A254" s="16"/>
      <c r="B254" s="16"/>
      <c r="C254" s="3"/>
      <c r="D254" s="16"/>
      <c r="E254" s="3"/>
      <c r="F254" s="16"/>
      <c r="G254" s="16"/>
      <c r="H254" s="16"/>
      <c r="I254" s="16"/>
      <c r="J254" s="16"/>
      <c r="K254" s="16"/>
      <c r="L254" s="16"/>
      <c r="M254" s="3"/>
      <c r="N254" s="3"/>
      <c r="O254" s="16"/>
      <c r="P254" s="16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2.75" customHeight="1">
      <c r="A255" s="16"/>
      <c r="B255" s="16"/>
      <c r="C255" s="3"/>
      <c r="D255" s="16"/>
      <c r="E255" s="3"/>
      <c r="F255" s="16"/>
      <c r="G255" s="16"/>
      <c r="H255" s="16"/>
      <c r="I255" s="16"/>
      <c r="J255" s="16"/>
      <c r="K255" s="16"/>
      <c r="L255" s="16"/>
      <c r="M255" s="3"/>
      <c r="N255" s="3"/>
      <c r="O255" s="16"/>
      <c r="P255" s="16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2.75" customHeight="1">
      <c r="A256" s="16"/>
      <c r="B256" s="16"/>
      <c r="C256" s="3"/>
      <c r="D256" s="16"/>
      <c r="E256" s="3"/>
      <c r="F256" s="16"/>
      <c r="G256" s="16"/>
      <c r="H256" s="16"/>
      <c r="I256" s="16"/>
      <c r="J256" s="16"/>
      <c r="K256" s="16"/>
      <c r="L256" s="16"/>
      <c r="M256" s="3"/>
      <c r="N256" s="3"/>
      <c r="O256" s="16"/>
      <c r="P256" s="16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2.75" customHeight="1">
      <c r="A257" s="16"/>
      <c r="B257" s="16"/>
      <c r="C257" s="3"/>
      <c r="D257" s="16"/>
      <c r="E257" s="3"/>
      <c r="F257" s="16"/>
      <c r="G257" s="16"/>
      <c r="H257" s="16"/>
      <c r="I257" s="16"/>
      <c r="J257" s="16"/>
      <c r="K257" s="16"/>
      <c r="L257" s="16"/>
      <c r="M257" s="3"/>
      <c r="N257" s="3"/>
      <c r="O257" s="16"/>
      <c r="P257" s="16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2.75" customHeight="1">
      <c r="A258" s="16"/>
      <c r="B258" s="16"/>
      <c r="C258" s="3"/>
      <c r="D258" s="16"/>
      <c r="E258" s="3"/>
      <c r="F258" s="16"/>
      <c r="G258" s="16"/>
      <c r="H258" s="16"/>
      <c r="I258" s="16"/>
      <c r="J258" s="16"/>
      <c r="K258" s="16"/>
      <c r="L258" s="16"/>
      <c r="M258" s="3"/>
      <c r="N258" s="3"/>
      <c r="O258" s="16"/>
      <c r="P258" s="16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2.75" customHeight="1">
      <c r="A259" s="16"/>
      <c r="B259" s="16"/>
      <c r="C259" s="3"/>
      <c r="D259" s="16"/>
      <c r="E259" s="3"/>
      <c r="F259" s="16"/>
      <c r="G259" s="16"/>
      <c r="H259" s="16"/>
      <c r="I259" s="16"/>
      <c r="J259" s="16"/>
      <c r="K259" s="16"/>
      <c r="L259" s="16"/>
      <c r="M259" s="3"/>
      <c r="N259" s="3"/>
      <c r="O259" s="16"/>
      <c r="P259" s="16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2.75" customHeight="1">
      <c r="A260" s="16"/>
      <c r="B260" s="16"/>
      <c r="C260" s="3"/>
      <c r="D260" s="16"/>
      <c r="E260" s="3"/>
      <c r="F260" s="16"/>
      <c r="G260" s="16"/>
      <c r="H260" s="16"/>
      <c r="I260" s="16"/>
      <c r="J260" s="16"/>
      <c r="K260" s="16"/>
      <c r="L260" s="16"/>
      <c r="M260" s="3"/>
      <c r="N260" s="3"/>
      <c r="O260" s="16"/>
      <c r="P260" s="16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2.75" customHeight="1">
      <c r="A261" s="16"/>
      <c r="B261" s="16"/>
      <c r="C261" s="3"/>
      <c r="D261" s="16"/>
      <c r="E261" s="3"/>
      <c r="F261" s="16"/>
      <c r="G261" s="16"/>
      <c r="H261" s="16"/>
      <c r="I261" s="16"/>
      <c r="J261" s="16"/>
      <c r="K261" s="16"/>
      <c r="L261" s="16"/>
      <c r="M261" s="3"/>
      <c r="N261" s="3"/>
      <c r="O261" s="16"/>
      <c r="P261" s="16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2.75" customHeight="1">
      <c r="A262" s="16"/>
      <c r="B262" s="16"/>
      <c r="C262" s="3"/>
      <c r="D262" s="16"/>
      <c r="E262" s="3"/>
      <c r="F262" s="16"/>
      <c r="G262" s="16"/>
      <c r="H262" s="16"/>
      <c r="I262" s="16"/>
      <c r="J262" s="16"/>
      <c r="K262" s="16"/>
      <c r="L262" s="16"/>
      <c r="M262" s="3"/>
      <c r="N262" s="3"/>
      <c r="O262" s="16"/>
      <c r="P262" s="16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2.75" customHeight="1">
      <c r="A263" s="16"/>
      <c r="B263" s="16"/>
      <c r="C263" s="3"/>
      <c r="D263" s="16"/>
      <c r="E263" s="3"/>
      <c r="F263" s="16"/>
      <c r="G263" s="16"/>
      <c r="H263" s="16"/>
      <c r="I263" s="16"/>
      <c r="J263" s="16"/>
      <c r="K263" s="16"/>
      <c r="L263" s="16"/>
      <c r="M263" s="3"/>
      <c r="N263" s="3"/>
      <c r="O263" s="16"/>
      <c r="P263" s="16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2.75" customHeight="1">
      <c r="A264" s="16"/>
      <c r="B264" s="16"/>
      <c r="C264" s="3"/>
      <c r="D264" s="16"/>
      <c r="E264" s="3"/>
      <c r="F264" s="16"/>
      <c r="G264" s="16"/>
      <c r="H264" s="16"/>
      <c r="I264" s="16"/>
      <c r="J264" s="16"/>
      <c r="K264" s="16"/>
      <c r="L264" s="16"/>
      <c r="M264" s="3"/>
      <c r="N264" s="3"/>
      <c r="O264" s="16"/>
      <c r="P264" s="16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2.75" customHeight="1">
      <c r="A265" s="16"/>
      <c r="B265" s="16"/>
      <c r="C265" s="3"/>
      <c r="D265" s="16"/>
      <c r="E265" s="3"/>
      <c r="F265" s="16"/>
      <c r="G265" s="16"/>
      <c r="H265" s="16"/>
      <c r="I265" s="16"/>
      <c r="J265" s="16"/>
      <c r="K265" s="16"/>
      <c r="L265" s="16"/>
      <c r="M265" s="3"/>
      <c r="N265" s="3"/>
      <c r="O265" s="16"/>
      <c r="P265" s="16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2.75" customHeight="1">
      <c r="A266" s="16"/>
      <c r="B266" s="16"/>
      <c r="C266" s="3"/>
      <c r="D266" s="16"/>
      <c r="E266" s="3"/>
      <c r="F266" s="16"/>
      <c r="G266" s="16"/>
      <c r="H266" s="16"/>
      <c r="I266" s="16"/>
      <c r="J266" s="16"/>
      <c r="K266" s="16"/>
      <c r="L266" s="16"/>
      <c r="M266" s="3"/>
      <c r="N266" s="3"/>
      <c r="O266" s="16"/>
      <c r="P266" s="16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2.75" customHeight="1">
      <c r="A267" s="16"/>
      <c r="B267" s="16"/>
      <c r="C267" s="3"/>
      <c r="D267" s="16"/>
      <c r="E267" s="3"/>
      <c r="F267" s="16"/>
      <c r="G267" s="16"/>
      <c r="H267" s="16"/>
      <c r="I267" s="16"/>
      <c r="J267" s="16"/>
      <c r="K267" s="16"/>
      <c r="L267" s="16"/>
      <c r="M267" s="3"/>
      <c r="N267" s="3"/>
      <c r="O267" s="16"/>
      <c r="P267" s="16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2.75" customHeight="1">
      <c r="A268" s="16"/>
      <c r="B268" s="16"/>
      <c r="C268" s="3"/>
      <c r="D268" s="16"/>
      <c r="E268" s="3"/>
      <c r="F268" s="16"/>
      <c r="G268" s="16"/>
      <c r="H268" s="16"/>
      <c r="I268" s="16"/>
      <c r="J268" s="16"/>
      <c r="K268" s="16"/>
      <c r="L268" s="16"/>
      <c r="M268" s="3"/>
      <c r="N268" s="3"/>
      <c r="O268" s="16"/>
      <c r="P268" s="16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2.75" customHeight="1">
      <c r="A269" s="16"/>
      <c r="B269" s="16"/>
      <c r="C269" s="3"/>
      <c r="D269" s="16"/>
      <c r="E269" s="3"/>
      <c r="F269" s="16"/>
      <c r="G269" s="16"/>
      <c r="H269" s="16"/>
      <c r="I269" s="16"/>
      <c r="J269" s="16"/>
      <c r="K269" s="16"/>
      <c r="L269" s="16"/>
      <c r="M269" s="3"/>
      <c r="N269" s="3"/>
      <c r="O269" s="16"/>
      <c r="P269" s="16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2.75" customHeight="1">
      <c r="A270" s="16"/>
      <c r="B270" s="16"/>
      <c r="C270" s="3"/>
      <c r="D270" s="16"/>
      <c r="E270" s="3"/>
      <c r="F270" s="16"/>
      <c r="G270" s="16"/>
      <c r="H270" s="16"/>
      <c r="I270" s="16"/>
      <c r="J270" s="16"/>
      <c r="K270" s="16"/>
      <c r="L270" s="16"/>
      <c r="M270" s="3"/>
      <c r="N270" s="3"/>
      <c r="O270" s="16"/>
      <c r="P270" s="16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2.75" customHeight="1">
      <c r="A271" s="16"/>
      <c r="B271" s="16"/>
      <c r="C271" s="3"/>
      <c r="D271" s="16"/>
      <c r="E271" s="3"/>
      <c r="F271" s="16"/>
      <c r="G271" s="16"/>
      <c r="H271" s="16"/>
      <c r="I271" s="16"/>
      <c r="J271" s="16"/>
      <c r="K271" s="16"/>
      <c r="L271" s="16"/>
      <c r="M271" s="3"/>
      <c r="N271" s="3"/>
      <c r="O271" s="16"/>
      <c r="P271" s="16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2.75" customHeight="1">
      <c r="A272" s="16"/>
      <c r="B272" s="16"/>
      <c r="C272" s="3"/>
      <c r="D272" s="16"/>
      <c r="E272" s="3"/>
      <c r="F272" s="16"/>
      <c r="G272" s="16"/>
      <c r="H272" s="16"/>
      <c r="I272" s="16"/>
      <c r="J272" s="16"/>
      <c r="K272" s="16"/>
      <c r="L272" s="16"/>
      <c r="M272" s="3"/>
      <c r="N272" s="3"/>
      <c r="O272" s="16"/>
      <c r="P272" s="16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2.75" customHeight="1">
      <c r="A273" s="16"/>
      <c r="B273" s="16"/>
      <c r="C273" s="3"/>
      <c r="D273" s="16"/>
      <c r="E273" s="3"/>
      <c r="F273" s="16"/>
      <c r="G273" s="16"/>
      <c r="H273" s="16"/>
      <c r="I273" s="16"/>
      <c r="J273" s="16"/>
      <c r="K273" s="16"/>
      <c r="L273" s="16"/>
      <c r="M273" s="3"/>
      <c r="N273" s="3"/>
      <c r="O273" s="16"/>
      <c r="P273" s="16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2.75" customHeight="1">
      <c r="A274" s="16"/>
      <c r="B274" s="16"/>
      <c r="C274" s="3"/>
      <c r="D274" s="16"/>
      <c r="E274" s="3"/>
      <c r="F274" s="16"/>
      <c r="G274" s="16"/>
      <c r="H274" s="16"/>
      <c r="I274" s="16"/>
      <c r="J274" s="16"/>
      <c r="K274" s="16"/>
      <c r="L274" s="16"/>
      <c r="M274" s="3"/>
      <c r="N274" s="3"/>
      <c r="O274" s="16"/>
      <c r="P274" s="16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2.75" customHeight="1">
      <c r="A275" s="16"/>
      <c r="B275" s="16"/>
      <c r="C275" s="3"/>
      <c r="D275" s="16"/>
      <c r="E275" s="3"/>
      <c r="F275" s="16"/>
      <c r="G275" s="16"/>
      <c r="H275" s="16"/>
      <c r="I275" s="16"/>
      <c r="J275" s="16"/>
      <c r="K275" s="16"/>
      <c r="L275" s="16"/>
      <c r="M275" s="3"/>
      <c r="N275" s="3"/>
      <c r="O275" s="16"/>
      <c r="P275" s="16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2.75" customHeight="1">
      <c r="A276" s="16"/>
      <c r="B276" s="16"/>
      <c r="C276" s="3"/>
      <c r="D276" s="16"/>
      <c r="E276" s="3"/>
      <c r="F276" s="16"/>
      <c r="G276" s="16"/>
      <c r="H276" s="16"/>
      <c r="I276" s="16"/>
      <c r="J276" s="16"/>
      <c r="K276" s="16"/>
      <c r="L276" s="16"/>
      <c r="M276" s="3"/>
      <c r="N276" s="3"/>
      <c r="O276" s="16"/>
      <c r="P276" s="16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2.75" customHeight="1">
      <c r="A277" s="16"/>
      <c r="B277" s="16"/>
      <c r="C277" s="3"/>
      <c r="D277" s="16"/>
      <c r="E277" s="3"/>
      <c r="F277" s="16"/>
      <c r="G277" s="16"/>
      <c r="H277" s="16"/>
      <c r="I277" s="16"/>
      <c r="J277" s="16"/>
      <c r="K277" s="16"/>
      <c r="L277" s="16"/>
      <c r="M277" s="3"/>
      <c r="N277" s="3"/>
      <c r="O277" s="16"/>
      <c r="P277" s="16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2.75" customHeight="1">
      <c r="A278" s="16"/>
      <c r="B278" s="16"/>
      <c r="C278" s="3"/>
      <c r="D278" s="16"/>
      <c r="E278" s="3"/>
      <c r="F278" s="16"/>
      <c r="G278" s="16"/>
      <c r="H278" s="16"/>
      <c r="I278" s="16"/>
      <c r="J278" s="16"/>
      <c r="K278" s="16"/>
      <c r="L278" s="16"/>
      <c r="M278" s="3"/>
      <c r="N278" s="3"/>
      <c r="O278" s="16"/>
      <c r="P278" s="16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2.75" customHeight="1">
      <c r="A279" s="16"/>
      <c r="B279" s="16"/>
      <c r="C279" s="3"/>
      <c r="D279" s="16"/>
      <c r="E279" s="3"/>
      <c r="F279" s="16"/>
      <c r="G279" s="16"/>
      <c r="H279" s="16"/>
      <c r="I279" s="16"/>
      <c r="J279" s="16"/>
      <c r="K279" s="16"/>
      <c r="L279" s="16"/>
      <c r="M279" s="3"/>
      <c r="N279" s="3"/>
      <c r="O279" s="16"/>
      <c r="P279" s="16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2.75" customHeight="1">
      <c r="A280" s="16"/>
      <c r="B280" s="16"/>
      <c r="C280" s="3"/>
      <c r="D280" s="16"/>
      <c r="E280" s="3"/>
      <c r="F280" s="16"/>
      <c r="G280" s="16"/>
      <c r="H280" s="16"/>
      <c r="I280" s="16"/>
      <c r="J280" s="16"/>
      <c r="K280" s="16"/>
      <c r="L280" s="16"/>
      <c r="M280" s="3"/>
      <c r="N280" s="3"/>
      <c r="O280" s="16"/>
      <c r="P280" s="16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2.75" customHeight="1">
      <c r="A281" s="16"/>
      <c r="B281" s="16"/>
      <c r="C281" s="3"/>
      <c r="D281" s="16"/>
      <c r="E281" s="3"/>
      <c r="F281" s="16"/>
      <c r="G281" s="16"/>
      <c r="H281" s="16"/>
      <c r="I281" s="16"/>
      <c r="J281" s="16"/>
      <c r="K281" s="16"/>
      <c r="L281" s="16"/>
      <c r="M281" s="3"/>
      <c r="N281" s="3"/>
      <c r="O281" s="16"/>
      <c r="P281" s="16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2.75" customHeight="1">
      <c r="A282" s="16"/>
      <c r="B282" s="16"/>
      <c r="C282" s="3"/>
      <c r="D282" s="16"/>
      <c r="E282" s="3"/>
      <c r="F282" s="16"/>
      <c r="G282" s="16"/>
      <c r="H282" s="16"/>
      <c r="I282" s="16"/>
      <c r="J282" s="16"/>
      <c r="K282" s="16"/>
      <c r="L282" s="16"/>
      <c r="M282" s="3"/>
      <c r="N282" s="3"/>
      <c r="O282" s="16"/>
      <c r="P282" s="16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2.75" customHeight="1">
      <c r="A283" s="16"/>
      <c r="B283" s="16"/>
      <c r="C283" s="3"/>
      <c r="D283" s="16"/>
      <c r="E283" s="3"/>
      <c r="F283" s="16"/>
      <c r="G283" s="16"/>
      <c r="H283" s="16"/>
      <c r="I283" s="16"/>
      <c r="J283" s="16"/>
      <c r="K283" s="16"/>
      <c r="L283" s="16"/>
      <c r="M283" s="3"/>
      <c r="N283" s="3"/>
      <c r="O283" s="16"/>
      <c r="P283" s="16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2.75" customHeight="1">
      <c r="A284" s="16"/>
      <c r="B284" s="16"/>
      <c r="C284" s="3"/>
      <c r="D284" s="16"/>
      <c r="E284" s="3"/>
      <c r="F284" s="16"/>
      <c r="G284" s="16"/>
      <c r="H284" s="16"/>
      <c r="I284" s="16"/>
      <c r="J284" s="16"/>
      <c r="K284" s="16"/>
      <c r="L284" s="16"/>
      <c r="M284" s="3"/>
      <c r="N284" s="3"/>
      <c r="O284" s="16"/>
      <c r="P284" s="16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2.75" customHeight="1">
      <c r="A285" s="16"/>
      <c r="B285" s="16"/>
      <c r="C285" s="3"/>
      <c r="D285" s="16"/>
      <c r="E285" s="3"/>
      <c r="F285" s="16"/>
      <c r="G285" s="16"/>
      <c r="H285" s="16"/>
      <c r="I285" s="16"/>
      <c r="J285" s="16"/>
      <c r="K285" s="16"/>
      <c r="L285" s="16"/>
      <c r="M285" s="3"/>
      <c r="N285" s="3"/>
      <c r="O285" s="16"/>
      <c r="P285" s="16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2.75" customHeight="1">
      <c r="A286" s="16"/>
      <c r="B286" s="16"/>
      <c r="C286" s="3"/>
      <c r="D286" s="16"/>
      <c r="E286" s="3"/>
      <c r="F286" s="16"/>
      <c r="G286" s="16"/>
      <c r="H286" s="16"/>
      <c r="I286" s="16"/>
      <c r="J286" s="16"/>
      <c r="K286" s="16"/>
      <c r="L286" s="16"/>
      <c r="M286" s="3"/>
      <c r="N286" s="3"/>
      <c r="O286" s="16"/>
      <c r="P286" s="16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2.75" customHeight="1">
      <c r="A287" s="16"/>
      <c r="B287" s="16"/>
      <c r="C287" s="3"/>
      <c r="D287" s="16"/>
      <c r="E287" s="3"/>
      <c r="F287" s="16"/>
      <c r="G287" s="16"/>
      <c r="H287" s="16"/>
      <c r="I287" s="16"/>
      <c r="J287" s="16"/>
      <c r="K287" s="16"/>
      <c r="L287" s="16"/>
      <c r="M287" s="3"/>
      <c r="N287" s="3"/>
      <c r="O287" s="16"/>
      <c r="P287" s="16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2.75" customHeight="1">
      <c r="A288" s="16"/>
      <c r="B288" s="16"/>
      <c r="C288" s="3"/>
      <c r="D288" s="16"/>
      <c r="E288" s="3"/>
      <c r="F288" s="16"/>
      <c r="G288" s="16"/>
      <c r="H288" s="16"/>
      <c r="I288" s="16"/>
      <c r="J288" s="16"/>
      <c r="K288" s="16"/>
      <c r="L288" s="16"/>
      <c r="M288" s="3"/>
      <c r="N288" s="3"/>
      <c r="O288" s="16"/>
      <c r="P288" s="16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2.75" customHeight="1">
      <c r="A289" s="16"/>
      <c r="B289" s="16"/>
      <c r="C289" s="3"/>
      <c r="D289" s="16"/>
      <c r="E289" s="3"/>
      <c r="F289" s="16"/>
      <c r="G289" s="16"/>
      <c r="H289" s="16"/>
      <c r="I289" s="16"/>
      <c r="J289" s="16"/>
      <c r="K289" s="16"/>
      <c r="L289" s="16"/>
      <c r="M289" s="3"/>
      <c r="N289" s="3"/>
      <c r="O289" s="16"/>
      <c r="P289" s="16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2.75" customHeight="1">
      <c r="A290" s="16"/>
      <c r="B290" s="16"/>
      <c r="C290" s="3"/>
      <c r="D290" s="16"/>
      <c r="E290" s="3"/>
      <c r="F290" s="16"/>
      <c r="G290" s="16"/>
      <c r="H290" s="16"/>
      <c r="I290" s="16"/>
      <c r="J290" s="16"/>
      <c r="K290" s="16"/>
      <c r="L290" s="16"/>
      <c r="M290" s="3"/>
      <c r="N290" s="3"/>
      <c r="O290" s="16"/>
      <c r="P290" s="16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2.75" customHeight="1">
      <c r="A291" s="16"/>
      <c r="B291" s="16"/>
      <c r="C291" s="3"/>
      <c r="D291" s="16"/>
      <c r="E291" s="3"/>
      <c r="F291" s="16"/>
      <c r="G291" s="16"/>
      <c r="H291" s="16"/>
      <c r="I291" s="16"/>
      <c r="J291" s="16"/>
      <c r="K291" s="16"/>
      <c r="L291" s="16"/>
      <c r="M291" s="3"/>
      <c r="N291" s="3"/>
      <c r="O291" s="16"/>
      <c r="P291" s="16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2.75" customHeight="1">
      <c r="A292" s="16"/>
      <c r="B292" s="16"/>
      <c r="C292" s="3"/>
      <c r="D292" s="16"/>
      <c r="E292" s="3"/>
      <c r="F292" s="16"/>
      <c r="G292" s="16"/>
      <c r="H292" s="16"/>
      <c r="I292" s="16"/>
      <c r="J292" s="16"/>
      <c r="K292" s="16"/>
      <c r="L292" s="16"/>
      <c r="M292" s="3"/>
      <c r="N292" s="3"/>
      <c r="O292" s="16"/>
      <c r="P292" s="16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2.75" customHeight="1">
      <c r="A293" s="16"/>
      <c r="B293" s="16"/>
      <c r="C293" s="3"/>
      <c r="D293" s="16"/>
      <c r="E293" s="3"/>
      <c r="F293" s="16"/>
      <c r="G293" s="16"/>
      <c r="H293" s="16"/>
      <c r="I293" s="16"/>
      <c r="J293" s="16"/>
      <c r="K293" s="16"/>
      <c r="L293" s="16"/>
      <c r="M293" s="3"/>
      <c r="N293" s="3"/>
      <c r="O293" s="16"/>
      <c r="P293" s="16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2.75" customHeight="1">
      <c r="A294" s="16"/>
      <c r="B294" s="16"/>
      <c r="C294" s="3"/>
      <c r="D294" s="16"/>
      <c r="E294" s="3"/>
      <c r="F294" s="16"/>
      <c r="G294" s="16"/>
      <c r="H294" s="16"/>
      <c r="I294" s="16"/>
      <c r="J294" s="16"/>
      <c r="K294" s="16"/>
      <c r="L294" s="16"/>
      <c r="M294" s="3"/>
      <c r="N294" s="3"/>
      <c r="O294" s="16"/>
      <c r="P294" s="16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2.75" customHeight="1">
      <c r="A295" s="16"/>
      <c r="B295" s="16"/>
      <c r="C295" s="3"/>
      <c r="D295" s="16"/>
      <c r="E295" s="3"/>
      <c r="F295" s="16"/>
      <c r="G295" s="16"/>
      <c r="H295" s="16"/>
      <c r="I295" s="16"/>
      <c r="J295" s="16"/>
      <c r="K295" s="16"/>
      <c r="L295" s="16"/>
      <c r="M295" s="3"/>
      <c r="N295" s="3"/>
      <c r="O295" s="16"/>
      <c r="P295" s="16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2.75" customHeight="1">
      <c r="A296" s="16"/>
      <c r="B296" s="16"/>
      <c r="C296" s="3"/>
      <c r="D296" s="16"/>
      <c r="E296" s="3"/>
      <c r="F296" s="16"/>
      <c r="G296" s="16"/>
      <c r="H296" s="16"/>
      <c r="I296" s="16"/>
      <c r="J296" s="16"/>
      <c r="K296" s="16"/>
      <c r="L296" s="16"/>
      <c r="M296" s="3"/>
      <c r="N296" s="3"/>
      <c r="O296" s="16"/>
      <c r="P296" s="16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2.75" customHeight="1">
      <c r="A297" s="16"/>
      <c r="B297" s="16"/>
      <c r="C297" s="3"/>
      <c r="D297" s="16"/>
      <c r="E297" s="3"/>
      <c r="F297" s="16"/>
      <c r="G297" s="16"/>
      <c r="H297" s="16"/>
      <c r="I297" s="16"/>
      <c r="J297" s="16"/>
      <c r="K297" s="16"/>
      <c r="L297" s="16"/>
      <c r="M297" s="3"/>
      <c r="N297" s="3"/>
      <c r="O297" s="16"/>
      <c r="P297" s="16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2.75" customHeight="1">
      <c r="A298" s="16"/>
      <c r="B298" s="16"/>
      <c r="C298" s="3"/>
      <c r="D298" s="16"/>
      <c r="E298" s="3"/>
      <c r="F298" s="16"/>
      <c r="G298" s="16"/>
      <c r="H298" s="16"/>
      <c r="I298" s="16"/>
      <c r="J298" s="16"/>
      <c r="K298" s="16"/>
      <c r="L298" s="16"/>
      <c r="M298" s="3"/>
      <c r="N298" s="3"/>
      <c r="O298" s="16"/>
      <c r="P298" s="16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2.75" customHeight="1">
      <c r="A299" s="16"/>
      <c r="B299" s="16"/>
      <c r="C299" s="3"/>
      <c r="D299" s="16"/>
      <c r="E299" s="3"/>
      <c r="F299" s="16"/>
      <c r="G299" s="16"/>
      <c r="H299" s="16"/>
      <c r="I299" s="16"/>
      <c r="J299" s="16"/>
      <c r="K299" s="16"/>
      <c r="L299" s="16"/>
      <c r="M299" s="3"/>
      <c r="N299" s="3"/>
      <c r="O299" s="16"/>
      <c r="P299" s="16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2.75" customHeight="1">
      <c r="A300" s="16"/>
      <c r="B300" s="16"/>
      <c r="C300" s="3"/>
      <c r="D300" s="16"/>
      <c r="E300" s="3"/>
      <c r="F300" s="16"/>
      <c r="G300" s="16"/>
      <c r="H300" s="16"/>
      <c r="I300" s="16"/>
      <c r="J300" s="16"/>
      <c r="K300" s="16"/>
      <c r="L300" s="16"/>
      <c r="M300" s="3"/>
      <c r="N300" s="3"/>
      <c r="O300" s="16"/>
      <c r="P300" s="16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2.75" customHeight="1">
      <c r="A301" s="16"/>
      <c r="B301" s="16"/>
      <c r="C301" s="3"/>
      <c r="D301" s="16"/>
      <c r="E301" s="3"/>
      <c r="F301" s="16"/>
      <c r="G301" s="16"/>
      <c r="H301" s="16"/>
      <c r="I301" s="16"/>
      <c r="J301" s="16"/>
      <c r="K301" s="16"/>
      <c r="L301" s="16"/>
      <c r="M301" s="3"/>
      <c r="N301" s="3"/>
      <c r="O301" s="16"/>
      <c r="P301" s="16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2.75" customHeight="1">
      <c r="A302" s="16"/>
      <c r="B302" s="16"/>
      <c r="C302" s="3"/>
      <c r="D302" s="16"/>
      <c r="E302" s="3"/>
      <c r="F302" s="16"/>
      <c r="G302" s="16"/>
      <c r="H302" s="16"/>
      <c r="I302" s="16"/>
      <c r="J302" s="16"/>
      <c r="K302" s="16"/>
      <c r="L302" s="16"/>
      <c r="M302" s="3"/>
      <c r="N302" s="3"/>
      <c r="O302" s="16"/>
      <c r="P302" s="16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2.75" customHeight="1">
      <c r="A303" s="16"/>
      <c r="B303" s="16"/>
      <c r="C303" s="3"/>
      <c r="D303" s="16"/>
      <c r="E303" s="3"/>
      <c r="F303" s="16"/>
      <c r="G303" s="16"/>
      <c r="H303" s="16"/>
      <c r="I303" s="16"/>
      <c r="J303" s="16"/>
      <c r="K303" s="16"/>
      <c r="L303" s="16"/>
      <c r="M303" s="3"/>
      <c r="N303" s="3"/>
      <c r="O303" s="16"/>
      <c r="P303" s="16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2.75" customHeight="1">
      <c r="A304" s="16"/>
      <c r="B304" s="16"/>
      <c r="C304" s="3"/>
      <c r="D304" s="16"/>
      <c r="E304" s="3"/>
      <c r="F304" s="16"/>
      <c r="G304" s="16"/>
      <c r="H304" s="16"/>
      <c r="I304" s="16"/>
      <c r="J304" s="16"/>
      <c r="K304" s="16"/>
      <c r="L304" s="16"/>
      <c r="M304" s="3"/>
      <c r="N304" s="3"/>
      <c r="O304" s="16"/>
      <c r="P304" s="16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2.75" customHeight="1">
      <c r="A305" s="16"/>
      <c r="B305" s="16"/>
      <c r="C305" s="3"/>
      <c r="D305" s="16"/>
      <c r="E305" s="3"/>
      <c r="F305" s="16"/>
      <c r="G305" s="16"/>
      <c r="H305" s="16"/>
      <c r="I305" s="16"/>
      <c r="J305" s="16"/>
      <c r="K305" s="16"/>
      <c r="L305" s="16"/>
      <c r="M305" s="3"/>
      <c r="N305" s="3"/>
      <c r="O305" s="16"/>
      <c r="P305" s="16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2.75" customHeight="1">
      <c r="A306" s="16"/>
      <c r="B306" s="16"/>
      <c r="C306" s="3"/>
      <c r="D306" s="16"/>
      <c r="E306" s="3"/>
      <c r="F306" s="16"/>
      <c r="G306" s="16"/>
      <c r="H306" s="16"/>
      <c r="I306" s="16"/>
      <c r="J306" s="16"/>
      <c r="K306" s="16"/>
      <c r="L306" s="16"/>
      <c r="M306" s="3"/>
      <c r="N306" s="3"/>
      <c r="O306" s="16"/>
      <c r="P306" s="16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2.75" customHeight="1">
      <c r="A307" s="16"/>
      <c r="B307" s="16"/>
      <c r="C307" s="3"/>
      <c r="D307" s="16"/>
      <c r="E307" s="3"/>
      <c r="F307" s="16"/>
      <c r="G307" s="16"/>
      <c r="H307" s="16"/>
      <c r="I307" s="16"/>
      <c r="J307" s="16"/>
      <c r="K307" s="16"/>
      <c r="L307" s="16"/>
      <c r="M307" s="3"/>
      <c r="N307" s="3"/>
      <c r="O307" s="16"/>
      <c r="P307" s="16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2.75" customHeight="1">
      <c r="A308" s="16"/>
      <c r="B308" s="16"/>
      <c r="C308" s="3"/>
      <c r="D308" s="16"/>
      <c r="E308" s="3"/>
      <c r="F308" s="16"/>
      <c r="G308" s="16"/>
      <c r="H308" s="16"/>
      <c r="I308" s="16"/>
      <c r="J308" s="16"/>
      <c r="K308" s="16"/>
      <c r="L308" s="16"/>
      <c r="M308" s="3"/>
      <c r="N308" s="3"/>
      <c r="O308" s="16"/>
      <c r="P308" s="16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2.75" customHeight="1">
      <c r="A309" s="16"/>
      <c r="B309" s="16"/>
      <c r="C309" s="3"/>
      <c r="D309" s="16"/>
      <c r="E309" s="3"/>
      <c r="F309" s="16"/>
      <c r="G309" s="16"/>
      <c r="H309" s="16"/>
      <c r="I309" s="16"/>
      <c r="J309" s="16"/>
      <c r="K309" s="16"/>
      <c r="L309" s="16"/>
      <c r="M309" s="3"/>
      <c r="N309" s="3"/>
      <c r="O309" s="16"/>
      <c r="P309" s="16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2.75" customHeight="1">
      <c r="A310" s="16"/>
      <c r="B310" s="16"/>
      <c r="C310" s="3"/>
      <c r="D310" s="16"/>
      <c r="E310" s="3"/>
      <c r="F310" s="16"/>
      <c r="G310" s="16"/>
      <c r="H310" s="16"/>
      <c r="I310" s="16"/>
      <c r="J310" s="16"/>
      <c r="K310" s="16"/>
      <c r="L310" s="16"/>
      <c r="M310" s="3"/>
      <c r="N310" s="3"/>
      <c r="O310" s="16"/>
      <c r="P310" s="16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2.75" customHeight="1">
      <c r="A311" s="16"/>
      <c r="B311" s="16"/>
      <c r="C311" s="3"/>
      <c r="D311" s="16"/>
      <c r="E311" s="3"/>
      <c r="F311" s="16"/>
      <c r="G311" s="16"/>
      <c r="H311" s="16"/>
      <c r="I311" s="16"/>
      <c r="J311" s="16"/>
      <c r="K311" s="16"/>
      <c r="L311" s="16"/>
      <c r="M311" s="3"/>
      <c r="N311" s="3"/>
      <c r="O311" s="16"/>
      <c r="P311" s="16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2.75" customHeight="1">
      <c r="A312" s="16"/>
      <c r="B312" s="16"/>
      <c r="C312" s="3"/>
      <c r="D312" s="16"/>
      <c r="E312" s="3"/>
      <c r="F312" s="16"/>
      <c r="G312" s="16"/>
      <c r="H312" s="16"/>
      <c r="I312" s="16"/>
      <c r="J312" s="16"/>
      <c r="K312" s="16"/>
      <c r="L312" s="16"/>
      <c r="M312" s="3"/>
      <c r="N312" s="3"/>
      <c r="O312" s="16"/>
      <c r="P312" s="16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2.75" customHeight="1">
      <c r="A313" s="16"/>
      <c r="B313" s="16"/>
      <c r="C313" s="3"/>
      <c r="D313" s="16"/>
      <c r="E313" s="3"/>
      <c r="F313" s="16"/>
      <c r="G313" s="16"/>
      <c r="H313" s="16"/>
      <c r="I313" s="16"/>
      <c r="J313" s="16"/>
      <c r="K313" s="16"/>
      <c r="L313" s="16"/>
      <c r="M313" s="3"/>
      <c r="N313" s="3"/>
      <c r="O313" s="16"/>
      <c r="P313" s="16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2.75" customHeight="1">
      <c r="A314" s="16"/>
      <c r="B314" s="16"/>
      <c r="C314" s="3"/>
      <c r="D314" s="16"/>
      <c r="E314" s="3"/>
      <c r="F314" s="16"/>
      <c r="G314" s="16"/>
      <c r="H314" s="16"/>
      <c r="I314" s="16"/>
      <c r="J314" s="16"/>
      <c r="K314" s="16"/>
      <c r="L314" s="16"/>
      <c r="M314" s="3"/>
      <c r="N314" s="3"/>
      <c r="O314" s="16"/>
      <c r="P314" s="16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2.75" customHeight="1">
      <c r="A315" s="16"/>
      <c r="B315" s="16"/>
      <c r="C315" s="3"/>
      <c r="D315" s="16"/>
      <c r="E315" s="3"/>
      <c r="F315" s="16"/>
      <c r="G315" s="16"/>
      <c r="H315" s="16"/>
      <c r="I315" s="16"/>
      <c r="J315" s="16"/>
      <c r="K315" s="16"/>
      <c r="L315" s="16"/>
      <c r="M315" s="3"/>
      <c r="N315" s="3"/>
      <c r="O315" s="16"/>
      <c r="P315" s="16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2.75" customHeight="1">
      <c r="A316" s="16"/>
      <c r="B316" s="16"/>
      <c r="C316" s="3"/>
      <c r="D316" s="16"/>
      <c r="E316" s="3"/>
      <c r="F316" s="16"/>
      <c r="G316" s="16"/>
      <c r="H316" s="16"/>
      <c r="I316" s="16"/>
      <c r="J316" s="16"/>
      <c r="K316" s="16"/>
      <c r="L316" s="16"/>
      <c r="M316" s="3"/>
      <c r="N316" s="3"/>
      <c r="O316" s="16"/>
      <c r="P316" s="16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2.75" customHeight="1">
      <c r="A317" s="16"/>
      <c r="B317" s="16"/>
      <c r="C317" s="3"/>
      <c r="D317" s="16"/>
      <c r="E317" s="3"/>
      <c r="F317" s="16"/>
      <c r="G317" s="16"/>
      <c r="H317" s="16"/>
      <c r="I317" s="16"/>
      <c r="J317" s="16"/>
      <c r="K317" s="16"/>
      <c r="L317" s="16"/>
      <c r="M317" s="3"/>
      <c r="N317" s="3"/>
      <c r="O317" s="16"/>
      <c r="P317" s="16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2.75" customHeight="1">
      <c r="A318" s="16"/>
      <c r="B318" s="16"/>
      <c r="C318" s="3"/>
      <c r="D318" s="16"/>
      <c r="E318" s="3"/>
      <c r="F318" s="16"/>
      <c r="G318" s="16"/>
      <c r="H318" s="16"/>
      <c r="I318" s="16"/>
      <c r="J318" s="16"/>
      <c r="K318" s="16"/>
      <c r="L318" s="16"/>
      <c r="M318" s="3"/>
      <c r="N318" s="3"/>
      <c r="O318" s="16"/>
      <c r="P318" s="16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2.75" customHeight="1">
      <c r="A319" s="16"/>
      <c r="B319" s="16"/>
      <c r="C319" s="3"/>
      <c r="D319" s="16"/>
      <c r="E319" s="3"/>
      <c r="F319" s="16"/>
      <c r="G319" s="16"/>
      <c r="H319" s="16"/>
      <c r="I319" s="16"/>
      <c r="J319" s="16"/>
      <c r="K319" s="16"/>
      <c r="L319" s="16"/>
      <c r="M319" s="3"/>
      <c r="N319" s="3"/>
      <c r="O319" s="16"/>
      <c r="P319" s="16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J$47"/>
  <conditionalFormatting sqref="B100:P103">
    <cfRule type="cellIs" dxfId="0" priority="1" stopIfTrue="1" operator="equal">
      <formula>"PLATA"</formula>
    </cfRule>
  </conditionalFormatting>
  <conditionalFormatting sqref="B100:P103">
    <cfRule type="cellIs" dxfId="1" priority="2" stopIfTrue="1" operator="equal">
      <formula>"ORO"</formula>
    </cfRule>
  </conditionalFormatting>
  <conditionalFormatting sqref="B100:P103">
    <cfRule type="cellIs" dxfId="2" priority="3" stopIfTrue="1" operator="equal">
      <formula>"BRONCE"</formula>
    </cfRule>
  </conditionalFormatting>
  <conditionalFormatting sqref="N105:N107">
    <cfRule type="cellIs" dxfId="0" priority="4" stopIfTrue="1" operator="equal">
      <formula>"PLATA"</formula>
    </cfRule>
  </conditionalFormatting>
  <conditionalFormatting sqref="N105:N107">
    <cfRule type="cellIs" dxfId="1" priority="5" stopIfTrue="1" operator="equal">
      <formula>"ORO"</formula>
    </cfRule>
  </conditionalFormatting>
  <conditionalFormatting sqref="N105:N107">
    <cfRule type="cellIs" dxfId="2" priority="6" stopIfTrue="1" operator="equal">
      <formula>"BRONCE"</formula>
    </cfRule>
  </conditionalFormatting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63"/>
    <col customWidth="1" min="2" max="26" width="11.63"/>
  </cols>
  <sheetData>
    <row r="1" ht="12.75" customHeight="1">
      <c r="A1" s="20">
        <v>2016.0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150</v>
      </c>
      <c r="P1" s="16" t="s">
        <v>151</v>
      </c>
      <c r="Q1" s="2" t="s">
        <v>345</v>
      </c>
      <c r="R1" s="20"/>
    </row>
    <row r="2" ht="12.75" customHeight="1">
      <c r="A2" s="2" t="s">
        <v>91</v>
      </c>
      <c r="B2" s="2" t="s">
        <v>16</v>
      </c>
      <c r="C2" s="2" t="s">
        <v>90</v>
      </c>
      <c r="D2" s="2" t="s">
        <v>90</v>
      </c>
      <c r="E2" s="2" t="s">
        <v>90</v>
      </c>
      <c r="F2" s="2" t="s">
        <v>90</v>
      </c>
      <c r="G2" s="2" t="s">
        <v>17</v>
      </c>
      <c r="H2" s="2" t="s">
        <v>90</v>
      </c>
      <c r="I2" s="2" t="s">
        <v>15</v>
      </c>
      <c r="J2" s="2" t="s">
        <v>17</v>
      </c>
      <c r="K2" s="2" t="s">
        <v>90</v>
      </c>
      <c r="L2" s="2" t="s">
        <v>90</v>
      </c>
      <c r="M2" s="2" t="s">
        <v>90</v>
      </c>
      <c r="N2" s="2" t="s">
        <v>90</v>
      </c>
      <c r="O2" s="2" t="s">
        <v>15</v>
      </c>
      <c r="P2" s="2" t="s">
        <v>90</v>
      </c>
      <c r="Q2" s="2" t="s">
        <v>90</v>
      </c>
      <c r="R2" s="2" t="s">
        <v>91</v>
      </c>
    </row>
    <row r="3" ht="12.75" customHeight="1">
      <c r="A3" s="2" t="s">
        <v>196</v>
      </c>
      <c r="B3" s="2" t="s">
        <v>15</v>
      </c>
      <c r="C3" s="2" t="s">
        <v>90</v>
      </c>
      <c r="D3" s="2" t="s">
        <v>90</v>
      </c>
      <c r="E3" s="2" t="s">
        <v>90</v>
      </c>
      <c r="F3" s="2" t="s">
        <v>16</v>
      </c>
      <c r="G3" s="2" t="s">
        <v>90</v>
      </c>
      <c r="H3" s="2" t="s">
        <v>90</v>
      </c>
      <c r="I3" s="2" t="s">
        <v>15</v>
      </c>
      <c r="J3" s="2" t="s">
        <v>16</v>
      </c>
      <c r="K3" s="2" t="s">
        <v>90</v>
      </c>
      <c r="L3" s="2" t="s">
        <v>90</v>
      </c>
      <c r="M3" s="2" t="s">
        <v>90</v>
      </c>
      <c r="N3" s="2" t="s">
        <v>90</v>
      </c>
      <c r="O3" s="2" t="s">
        <v>90</v>
      </c>
      <c r="P3" s="2" t="s">
        <v>90</v>
      </c>
      <c r="Q3" s="2" t="s">
        <v>90</v>
      </c>
      <c r="R3" s="2" t="s">
        <v>196</v>
      </c>
    </row>
    <row r="4" ht="12.75" customHeight="1">
      <c r="A4" s="2" t="s">
        <v>196</v>
      </c>
      <c r="B4" s="2" t="s">
        <v>90</v>
      </c>
      <c r="C4" s="2" t="s">
        <v>15</v>
      </c>
      <c r="D4" s="2" t="s">
        <v>90</v>
      </c>
      <c r="E4" s="2" t="s">
        <v>16</v>
      </c>
      <c r="F4" s="2" t="s">
        <v>16</v>
      </c>
      <c r="G4" s="2" t="s">
        <v>90</v>
      </c>
      <c r="H4" s="2" t="s">
        <v>90</v>
      </c>
      <c r="I4" s="2" t="s">
        <v>90</v>
      </c>
      <c r="J4" s="2" t="s">
        <v>17</v>
      </c>
      <c r="K4" s="2" t="s">
        <v>90</v>
      </c>
      <c r="L4" s="2" t="s">
        <v>90</v>
      </c>
      <c r="M4" s="2" t="s">
        <v>90</v>
      </c>
      <c r="N4" s="2" t="s">
        <v>90</v>
      </c>
      <c r="O4" s="2" t="s">
        <v>90</v>
      </c>
      <c r="P4" s="2" t="s">
        <v>90</v>
      </c>
      <c r="Q4" s="2" t="s">
        <v>90</v>
      </c>
      <c r="R4" s="2" t="s">
        <v>196</v>
      </c>
    </row>
    <row r="5" ht="12.75" customHeight="1">
      <c r="A5" s="2" t="s">
        <v>18</v>
      </c>
      <c r="B5" s="2" t="s">
        <v>16</v>
      </c>
      <c r="C5" s="2" t="s">
        <v>16</v>
      </c>
      <c r="D5" s="2" t="s">
        <v>90</v>
      </c>
      <c r="E5" s="2" t="s">
        <v>16</v>
      </c>
      <c r="F5" s="2" t="s">
        <v>15</v>
      </c>
      <c r="G5" s="2" t="s">
        <v>90</v>
      </c>
      <c r="H5" s="2" t="s">
        <v>90</v>
      </c>
      <c r="I5" s="2" t="s">
        <v>15</v>
      </c>
      <c r="J5" s="2" t="s">
        <v>90</v>
      </c>
      <c r="K5" s="2" t="s">
        <v>15</v>
      </c>
      <c r="L5" s="2" t="s">
        <v>90</v>
      </c>
      <c r="M5" s="2" t="s">
        <v>90</v>
      </c>
      <c r="N5" s="2" t="s">
        <v>90</v>
      </c>
      <c r="O5" s="2" t="s">
        <v>90</v>
      </c>
      <c r="P5" s="2" t="s">
        <v>90</v>
      </c>
      <c r="Q5" s="2" t="s">
        <v>90</v>
      </c>
      <c r="R5" s="2" t="s">
        <v>18</v>
      </c>
    </row>
    <row r="6" ht="12.75" customHeight="1">
      <c r="A6" s="2">
        <v>-1.0</v>
      </c>
      <c r="B6" s="2" t="s">
        <v>17</v>
      </c>
      <c r="C6" s="2" t="s">
        <v>89</v>
      </c>
      <c r="D6" s="2" t="s">
        <v>90</v>
      </c>
      <c r="E6" s="2" t="s">
        <v>89</v>
      </c>
      <c r="F6" s="2" t="s">
        <v>15</v>
      </c>
      <c r="G6" s="2" t="s">
        <v>90</v>
      </c>
      <c r="H6" s="2" t="s">
        <v>90</v>
      </c>
      <c r="I6" s="2" t="s">
        <v>89</v>
      </c>
      <c r="J6" s="2" t="s">
        <v>90</v>
      </c>
      <c r="K6" s="2" t="s">
        <v>16</v>
      </c>
      <c r="L6" s="2" t="s">
        <v>90</v>
      </c>
      <c r="M6" s="2" t="s">
        <v>90</v>
      </c>
      <c r="N6" s="2" t="s">
        <v>90</v>
      </c>
      <c r="O6" s="2" t="s">
        <v>90</v>
      </c>
      <c r="P6" s="2" t="s">
        <v>90</v>
      </c>
      <c r="Q6" s="2" t="s">
        <v>90</v>
      </c>
      <c r="R6" s="2">
        <v>-1.0</v>
      </c>
    </row>
    <row r="7" ht="12.75" customHeight="1">
      <c r="A7" s="2" t="s">
        <v>33</v>
      </c>
      <c r="B7" s="2" t="s">
        <v>16</v>
      </c>
      <c r="C7" s="2" t="s">
        <v>89</v>
      </c>
      <c r="D7" s="2" t="s">
        <v>90</v>
      </c>
      <c r="E7" s="2" t="s">
        <v>17</v>
      </c>
      <c r="F7" s="2" t="s">
        <v>15</v>
      </c>
      <c r="G7" s="2" t="s">
        <v>90</v>
      </c>
      <c r="H7" s="2" t="s">
        <v>90</v>
      </c>
      <c r="I7" s="2" t="s">
        <v>89</v>
      </c>
      <c r="J7" s="2" t="s">
        <v>90</v>
      </c>
      <c r="K7" s="2" t="s">
        <v>90</v>
      </c>
      <c r="L7" s="2" t="s">
        <v>90</v>
      </c>
      <c r="M7" s="2" t="s">
        <v>90</v>
      </c>
      <c r="N7" s="2" t="s">
        <v>90</v>
      </c>
      <c r="O7" s="2" t="s">
        <v>90</v>
      </c>
      <c r="P7" s="2" t="s">
        <v>90</v>
      </c>
      <c r="Q7" s="2" t="s">
        <v>90</v>
      </c>
      <c r="R7" s="2" t="s">
        <v>33</v>
      </c>
    </row>
    <row r="8" ht="12.75" customHeight="1">
      <c r="A8" s="2" t="s">
        <v>211</v>
      </c>
      <c r="B8" s="2" t="s">
        <v>16</v>
      </c>
      <c r="C8" s="2" t="s">
        <v>16</v>
      </c>
      <c r="D8" s="2" t="s">
        <v>90</v>
      </c>
      <c r="E8" s="2" t="s">
        <v>89</v>
      </c>
      <c r="F8" s="2" t="s">
        <v>89</v>
      </c>
      <c r="G8" s="2" t="s">
        <v>16</v>
      </c>
      <c r="H8" s="2" t="s">
        <v>90</v>
      </c>
      <c r="I8" s="2" t="s">
        <v>16</v>
      </c>
      <c r="J8" s="2" t="s">
        <v>89</v>
      </c>
      <c r="K8" s="2" t="s">
        <v>89</v>
      </c>
      <c r="L8" s="2" t="s">
        <v>90</v>
      </c>
      <c r="M8" s="2" t="s">
        <v>90</v>
      </c>
      <c r="N8" s="2" t="s">
        <v>90</v>
      </c>
      <c r="O8" s="2" t="s">
        <v>90</v>
      </c>
      <c r="P8" s="2" t="s">
        <v>90</v>
      </c>
      <c r="Q8" s="2" t="s">
        <v>90</v>
      </c>
      <c r="R8" s="2" t="s">
        <v>211</v>
      </c>
    </row>
    <row r="9" ht="12.75" customHeight="1">
      <c r="A9" s="2" t="s">
        <v>266</v>
      </c>
      <c r="B9" s="2" t="s">
        <v>90</v>
      </c>
      <c r="C9" s="2" t="s">
        <v>89</v>
      </c>
      <c r="D9" s="2" t="s">
        <v>89</v>
      </c>
      <c r="E9" s="2" t="s">
        <v>89</v>
      </c>
      <c r="F9" s="2" t="s">
        <v>16</v>
      </c>
      <c r="G9" s="2" t="s">
        <v>90</v>
      </c>
      <c r="H9" s="2" t="s">
        <v>89</v>
      </c>
      <c r="I9" s="2" t="s">
        <v>89</v>
      </c>
      <c r="J9" s="2" t="s">
        <v>16</v>
      </c>
      <c r="K9" s="2" t="s">
        <v>89</v>
      </c>
      <c r="L9" s="2" t="s">
        <v>90</v>
      </c>
      <c r="M9" s="2" t="s">
        <v>90</v>
      </c>
      <c r="N9" s="2" t="s">
        <v>90</v>
      </c>
      <c r="O9" s="2" t="s">
        <v>90</v>
      </c>
      <c r="P9" s="2" t="s">
        <v>90</v>
      </c>
      <c r="Q9" s="2" t="s">
        <v>89</v>
      </c>
      <c r="R9" s="2" t="s">
        <v>266</v>
      </c>
    </row>
    <row r="10" ht="12.75" customHeight="1">
      <c r="A10" s="2" t="s">
        <v>91</v>
      </c>
      <c r="B10" s="2" t="s">
        <v>16</v>
      </c>
      <c r="C10" s="2" t="s">
        <v>89</v>
      </c>
      <c r="D10" s="2" t="s">
        <v>89</v>
      </c>
      <c r="E10" s="2" t="s">
        <v>89</v>
      </c>
      <c r="F10" s="2" t="s">
        <v>17</v>
      </c>
      <c r="G10" s="2" t="s">
        <v>90</v>
      </c>
      <c r="H10" s="2" t="s">
        <v>15</v>
      </c>
      <c r="I10" s="2" t="s">
        <v>15</v>
      </c>
      <c r="J10" s="2" t="s">
        <v>17</v>
      </c>
      <c r="K10" s="2" t="s">
        <v>90</v>
      </c>
      <c r="L10" s="2" t="s">
        <v>90</v>
      </c>
      <c r="M10" s="2" t="s">
        <v>90</v>
      </c>
      <c r="N10" s="2" t="s">
        <v>90</v>
      </c>
      <c r="O10" s="2" t="s">
        <v>90</v>
      </c>
      <c r="P10" s="2" t="s">
        <v>90</v>
      </c>
      <c r="Q10" s="2" t="s">
        <v>89</v>
      </c>
      <c r="R10" s="2" t="s">
        <v>91</v>
      </c>
    </row>
    <row r="11" ht="12.75" customHeight="1">
      <c r="A11" s="2" t="s">
        <v>346</v>
      </c>
      <c r="B11" s="2" t="s">
        <v>90</v>
      </c>
      <c r="C11" s="2" t="s">
        <v>89</v>
      </c>
      <c r="D11" s="2" t="s">
        <v>16</v>
      </c>
      <c r="E11" s="2" t="s">
        <v>16</v>
      </c>
      <c r="F11" s="2" t="s">
        <v>15</v>
      </c>
      <c r="G11" s="2" t="s">
        <v>90</v>
      </c>
      <c r="H11" s="2" t="s">
        <v>90</v>
      </c>
      <c r="I11" s="2" t="s">
        <v>90</v>
      </c>
      <c r="J11" s="2" t="s">
        <v>15</v>
      </c>
      <c r="K11" s="2" t="s">
        <v>16</v>
      </c>
      <c r="L11" s="2" t="s">
        <v>90</v>
      </c>
      <c r="M11" s="2" t="s">
        <v>90</v>
      </c>
      <c r="N11" s="2" t="s">
        <v>90</v>
      </c>
      <c r="O11" s="2" t="s">
        <v>90</v>
      </c>
      <c r="P11" s="2" t="s">
        <v>90</v>
      </c>
      <c r="Q11" s="2" t="s">
        <v>90</v>
      </c>
      <c r="R11" s="2" t="s">
        <v>346</v>
      </c>
    </row>
    <row r="12" ht="12.75" customHeight="1">
      <c r="A12" s="2" t="s">
        <v>23</v>
      </c>
      <c r="B12" s="2" t="s">
        <v>16</v>
      </c>
      <c r="C12" s="2" t="s">
        <v>89</v>
      </c>
      <c r="D12" s="2" t="s">
        <v>89</v>
      </c>
      <c r="E12" s="2" t="s">
        <v>17</v>
      </c>
      <c r="F12" s="2" t="s">
        <v>89</v>
      </c>
      <c r="G12" s="2" t="s">
        <v>15</v>
      </c>
      <c r="H12" s="2" t="s">
        <v>89</v>
      </c>
      <c r="I12" s="2" t="s">
        <v>89</v>
      </c>
      <c r="J12" s="2" t="s">
        <v>89</v>
      </c>
      <c r="K12" s="2" t="s">
        <v>89</v>
      </c>
      <c r="L12" s="2" t="s">
        <v>90</v>
      </c>
      <c r="M12" s="2" t="s">
        <v>90</v>
      </c>
      <c r="N12" s="2" t="s">
        <v>90</v>
      </c>
      <c r="O12" s="2" t="s">
        <v>90</v>
      </c>
      <c r="P12" s="2" t="s">
        <v>90</v>
      </c>
      <c r="Q12" s="2" t="s">
        <v>89</v>
      </c>
      <c r="R12" s="2" t="s">
        <v>23</v>
      </c>
    </row>
    <row r="13" ht="12.75" customHeight="1">
      <c r="A13" s="2" t="s">
        <v>23</v>
      </c>
      <c r="B13" s="2" t="s">
        <v>16</v>
      </c>
      <c r="C13" s="2" t="s">
        <v>89</v>
      </c>
      <c r="D13" s="2" t="s">
        <v>89</v>
      </c>
      <c r="E13" s="2" t="s">
        <v>17</v>
      </c>
      <c r="F13" s="2" t="s">
        <v>89</v>
      </c>
      <c r="G13" s="2" t="s">
        <v>89</v>
      </c>
      <c r="H13" s="2" t="s">
        <v>89</v>
      </c>
      <c r="I13" s="2" t="s">
        <v>89</v>
      </c>
      <c r="J13" s="2" t="s">
        <v>89</v>
      </c>
      <c r="K13" s="2" t="s">
        <v>15</v>
      </c>
      <c r="L13" s="2" t="s">
        <v>90</v>
      </c>
      <c r="M13" s="2" t="s">
        <v>90</v>
      </c>
      <c r="N13" s="2" t="s">
        <v>90</v>
      </c>
      <c r="O13" s="2" t="s">
        <v>90</v>
      </c>
      <c r="P13" s="2" t="s">
        <v>90</v>
      </c>
      <c r="Q13" s="2" t="s">
        <v>89</v>
      </c>
      <c r="R13" s="2" t="s">
        <v>23</v>
      </c>
    </row>
    <row r="14" ht="12.75" customHeight="1">
      <c r="A14" s="2" t="s">
        <v>347</v>
      </c>
      <c r="B14" s="2" t="s">
        <v>17</v>
      </c>
      <c r="C14" s="2" t="s">
        <v>89</v>
      </c>
      <c r="D14" s="2" t="s">
        <v>89</v>
      </c>
      <c r="E14" s="2" t="s">
        <v>89</v>
      </c>
      <c r="F14" s="2" t="s">
        <v>89</v>
      </c>
      <c r="G14" s="2" t="s">
        <v>89</v>
      </c>
      <c r="H14" s="2" t="s">
        <v>89</v>
      </c>
      <c r="I14" s="2" t="s">
        <v>16</v>
      </c>
      <c r="J14" s="2" t="s">
        <v>89</v>
      </c>
      <c r="K14" s="2" t="s">
        <v>15</v>
      </c>
      <c r="L14" s="2" t="s">
        <v>90</v>
      </c>
      <c r="M14" s="2" t="s">
        <v>90</v>
      </c>
      <c r="N14" s="2" t="s">
        <v>90</v>
      </c>
      <c r="O14" s="2" t="s">
        <v>89</v>
      </c>
      <c r="P14" s="2" t="s">
        <v>90</v>
      </c>
      <c r="Q14" s="2" t="s">
        <v>89</v>
      </c>
      <c r="R14" s="2" t="s">
        <v>347</v>
      </c>
    </row>
    <row r="15" ht="12.75" customHeight="1">
      <c r="A15" s="2" t="s">
        <v>348</v>
      </c>
      <c r="B15" s="2" t="s">
        <v>15</v>
      </c>
      <c r="C15" s="2" t="s">
        <v>89</v>
      </c>
      <c r="D15" s="2" t="s">
        <v>89</v>
      </c>
      <c r="E15" s="2" t="s">
        <v>89</v>
      </c>
      <c r="F15" s="2" t="s">
        <v>17</v>
      </c>
      <c r="G15" s="2" t="s">
        <v>89</v>
      </c>
      <c r="H15" s="2" t="s">
        <v>89</v>
      </c>
      <c r="I15" s="2" t="s">
        <v>89</v>
      </c>
      <c r="J15" s="2" t="s">
        <v>89</v>
      </c>
      <c r="K15" s="2" t="s">
        <v>89</v>
      </c>
      <c r="L15" s="2" t="s">
        <v>90</v>
      </c>
      <c r="M15" s="2" t="s">
        <v>90</v>
      </c>
      <c r="N15" s="2" t="s">
        <v>90</v>
      </c>
      <c r="O15" s="2" t="s">
        <v>89</v>
      </c>
      <c r="P15" s="2" t="s">
        <v>90</v>
      </c>
      <c r="Q15" s="2" t="s">
        <v>16</v>
      </c>
      <c r="R15" s="2" t="s">
        <v>348</v>
      </c>
    </row>
    <row r="16" ht="12.75" customHeight="1">
      <c r="A16" s="2" t="s">
        <v>349</v>
      </c>
      <c r="B16" s="2" t="s">
        <v>15</v>
      </c>
      <c r="C16" s="2" t="s">
        <v>89</v>
      </c>
      <c r="D16" s="2" t="s">
        <v>89</v>
      </c>
      <c r="E16" s="2" t="s">
        <v>89</v>
      </c>
      <c r="F16" s="2" t="s">
        <v>16</v>
      </c>
      <c r="G16" s="2" t="s">
        <v>89</v>
      </c>
      <c r="H16" s="2" t="s">
        <v>89</v>
      </c>
      <c r="I16" s="2" t="s">
        <v>89</v>
      </c>
      <c r="J16" s="2" t="s">
        <v>89</v>
      </c>
      <c r="K16" s="2" t="s">
        <v>17</v>
      </c>
      <c r="L16" s="2" t="s">
        <v>90</v>
      </c>
      <c r="M16" s="2" t="s">
        <v>90</v>
      </c>
      <c r="N16" s="2" t="s">
        <v>90</v>
      </c>
      <c r="O16" s="2" t="s">
        <v>89</v>
      </c>
      <c r="P16" s="2" t="s">
        <v>90</v>
      </c>
      <c r="Q16" s="2" t="s">
        <v>89</v>
      </c>
      <c r="R16" s="2" t="s">
        <v>349</v>
      </c>
    </row>
    <row r="17" ht="12.75" customHeight="1">
      <c r="A17" s="2" t="s">
        <v>27</v>
      </c>
      <c r="B17" s="2" t="s">
        <v>16</v>
      </c>
      <c r="C17" s="2" t="s">
        <v>89</v>
      </c>
      <c r="D17" s="2" t="s">
        <v>17</v>
      </c>
      <c r="E17" s="2" t="s">
        <v>89</v>
      </c>
      <c r="F17" s="2" t="s">
        <v>15</v>
      </c>
      <c r="G17" s="2" t="s">
        <v>89</v>
      </c>
      <c r="H17" s="2" t="s">
        <v>89</v>
      </c>
      <c r="I17" s="2" t="s">
        <v>89</v>
      </c>
      <c r="J17" s="2" t="s">
        <v>15</v>
      </c>
      <c r="K17" s="2" t="s">
        <v>17</v>
      </c>
      <c r="L17" s="2" t="s">
        <v>90</v>
      </c>
      <c r="M17" s="2" t="s">
        <v>90</v>
      </c>
      <c r="N17" s="2" t="s">
        <v>90</v>
      </c>
      <c r="O17" s="2" t="s">
        <v>16</v>
      </c>
      <c r="P17" s="2" t="s">
        <v>90</v>
      </c>
      <c r="Q17" s="2" t="s">
        <v>89</v>
      </c>
      <c r="R17" s="2" t="s">
        <v>27</v>
      </c>
    </row>
    <row r="18" ht="12.75" customHeight="1">
      <c r="A18" s="2" t="s">
        <v>39</v>
      </c>
      <c r="B18" s="2" t="s">
        <v>89</v>
      </c>
      <c r="C18" s="2" t="s">
        <v>16</v>
      </c>
      <c r="D18" s="2" t="s">
        <v>90</v>
      </c>
      <c r="E18" s="2" t="s">
        <v>16</v>
      </c>
      <c r="F18" s="2" t="s">
        <v>89</v>
      </c>
      <c r="G18" s="2" t="s">
        <v>16</v>
      </c>
      <c r="H18" s="2" t="s">
        <v>16</v>
      </c>
      <c r="I18" s="2" t="s">
        <v>16</v>
      </c>
      <c r="J18" s="2" t="s">
        <v>89</v>
      </c>
      <c r="K18" s="2" t="s">
        <v>89</v>
      </c>
      <c r="L18" s="2" t="s">
        <v>90</v>
      </c>
      <c r="M18" s="2" t="s">
        <v>90</v>
      </c>
      <c r="N18" s="2" t="s">
        <v>90</v>
      </c>
      <c r="O18" s="2" t="s">
        <v>90</v>
      </c>
      <c r="P18" s="2" t="s">
        <v>90</v>
      </c>
      <c r="Q18" s="2" t="s">
        <v>89</v>
      </c>
      <c r="R18" s="2" t="s">
        <v>39</v>
      </c>
    </row>
    <row r="19" ht="12.75" customHeight="1">
      <c r="A19" s="2" t="s">
        <v>267</v>
      </c>
      <c r="B19" s="2" t="s">
        <v>16</v>
      </c>
      <c r="C19" s="2" t="s">
        <v>89</v>
      </c>
      <c r="D19" s="2" t="s">
        <v>16</v>
      </c>
      <c r="E19" s="2" t="s">
        <v>89</v>
      </c>
      <c r="F19" s="2" t="s">
        <v>16</v>
      </c>
      <c r="G19" s="2" t="s">
        <v>89</v>
      </c>
      <c r="H19" s="2" t="s">
        <v>89</v>
      </c>
      <c r="I19" s="2" t="s">
        <v>89</v>
      </c>
      <c r="J19" s="2" t="s">
        <v>16</v>
      </c>
      <c r="K19" s="2" t="s">
        <v>16</v>
      </c>
      <c r="L19" s="2" t="s">
        <v>90</v>
      </c>
      <c r="M19" s="2" t="s">
        <v>90</v>
      </c>
      <c r="N19" s="2" t="s">
        <v>90</v>
      </c>
      <c r="O19" s="2" t="s">
        <v>90</v>
      </c>
      <c r="P19" s="2" t="s">
        <v>90</v>
      </c>
      <c r="Q19" s="2" t="s">
        <v>16</v>
      </c>
      <c r="R19" s="2" t="s">
        <v>267</v>
      </c>
    </row>
    <row r="20" ht="12.75" customHeight="1">
      <c r="A20" s="2" t="s">
        <v>25</v>
      </c>
      <c r="B20" s="2" t="s">
        <v>89</v>
      </c>
      <c r="C20" s="2" t="s">
        <v>89</v>
      </c>
      <c r="D20" s="2" t="s">
        <v>90</v>
      </c>
      <c r="E20" s="2" t="s">
        <v>16</v>
      </c>
      <c r="F20" s="2" t="s">
        <v>16</v>
      </c>
      <c r="G20" s="2" t="s">
        <v>15</v>
      </c>
      <c r="H20" s="2" t="s">
        <v>89</v>
      </c>
      <c r="I20" s="2" t="s">
        <v>89</v>
      </c>
      <c r="J20" s="2" t="s">
        <v>89</v>
      </c>
      <c r="K20" s="2" t="s">
        <v>90</v>
      </c>
      <c r="L20" s="2" t="s">
        <v>90</v>
      </c>
      <c r="M20" s="2" t="s">
        <v>90</v>
      </c>
      <c r="N20" s="2" t="s">
        <v>90</v>
      </c>
      <c r="O20" s="2" t="s">
        <v>90</v>
      </c>
      <c r="P20" s="2" t="s">
        <v>90</v>
      </c>
      <c r="Q20" s="2" t="s">
        <v>89</v>
      </c>
      <c r="R20" s="2" t="s">
        <v>25</v>
      </c>
    </row>
    <row r="21" ht="12.75" customHeight="1">
      <c r="A21" s="2" t="s">
        <v>350</v>
      </c>
      <c r="B21" s="2" t="s">
        <v>17</v>
      </c>
      <c r="C21" s="2" t="s">
        <v>89</v>
      </c>
      <c r="D21" s="2" t="s">
        <v>89</v>
      </c>
      <c r="E21" s="2" t="s">
        <v>89</v>
      </c>
      <c r="F21" s="2" t="s">
        <v>89</v>
      </c>
      <c r="G21" s="2" t="s">
        <v>89</v>
      </c>
      <c r="H21" s="2" t="s">
        <v>89</v>
      </c>
      <c r="I21" s="2" t="s">
        <v>16</v>
      </c>
      <c r="J21" s="2" t="s">
        <v>89</v>
      </c>
      <c r="K21" s="2" t="s">
        <v>89</v>
      </c>
      <c r="L21" s="2" t="s">
        <v>90</v>
      </c>
      <c r="M21" s="2" t="s">
        <v>90</v>
      </c>
      <c r="N21" s="2" t="s">
        <v>90</v>
      </c>
      <c r="O21" s="2" t="s">
        <v>89</v>
      </c>
      <c r="P21" s="2" t="s">
        <v>90</v>
      </c>
      <c r="Q21" s="2" t="s">
        <v>15</v>
      </c>
      <c r="R21" s="2" t="s">
        <v>350</v>
      </c>
    </row>
    <row r="22" ht="12.75" customHeight="1">
      <c r="A22" s="2" t="s">
        <v>351</v>
      </c>
      <c r="B22" s="2" t="s">
        <v>89</v>
      </c>
      <c r="C22" s="2" t="s">
        <v>89</v>
      </c>
      <c r="D22" s="2" t="s">
        <v>15</v>
      </c>
      <c r="E22" s="2" t="s">
        <v>89</v>
      </c>
      <c r="F22" s="2" t="s">
        <v>16</v>
      </c>
      <c r="G22" s="2" t="s">
        <v>89</v>
      </c>
      <c r="H22" s="2" t="s">
        <v>89</v>
      </c>
      <c r="I22" s="2" t="s">
        <v>17</v>
      </c>
      <c r="J22" s="2" t="s">
        <v>89</v>
      </c>
      <c r="K22" s="2" t="s">
        <v>89</v>
      </c>
      <c r="L22" s="2" t="s">
        <v>90</v>
      </c>
      <c r="M22" s="2" t="s">
        <v>90</v>
      </c>
      <c r="N22" s="2" t="s">
        <v>90</v>
      </c>
      <c r="O22" s="2" t="s">
        <v>89</v>
      </c>
      <c r="P22" s="2" t="s">
        <v>89</v>
      </c>
      <c r="Q22" s="2" t="s">
        <v>89</v>
      </c>
      <c r="R22" s="2" t="s">
        <v>351</v>
      </c>
    </row>
    <row r="23" ht="12.75" customHeight="1">
      <c r="A23" s="2" t="s">
        <v>91</v>
      </c>
      <c r="B23" s="2" t="s">
        <v>15</v>
      </c>
      <c r="C23" s="2" t="s">
        <v>89</v>
      </c>
      <c r="D23" s="2" t="s">
        <v>16</v>
      </c>
      <c r="E23" s="2" t="s">
        <v>17</v>
      </c>
      <c r="F23" s="2" t="s">
        <v>89</v>
      </c>
      <c r="G23" s="2" t="s">
        <v>90</v>
      </c>
      <c r="H23" s="2" t="s">
        <v>89</v>
      </c>
      <c r="I23" s="2" t="s">
        <v>89</v>
      </c>
      <c r="J23" s="2" t="s">
        <v>89</v>
      </c>
      <c r="K23" s="2" t="s">
        <v>16</v>
      </c>
      <c r="L23" s="2" t="s">
        <v>90</v>
      </c>
      <c r="M23" s="2" t="s">
        <v>90</v>
      </c>
      <c r="N23" s="2" t="s">
        <v>90</v>
      </c>
      <c r="O23" s="2" t="s">
        <v>90</v>
      </c>
      <c r="P23" s="2" t="s">
        <v>90</v>
      </c>
      <c r="Q23" s="2" t="s">
        <v>90</v>
      </c>
      <c r="R23" s="2" t="s">
        <v>91</v>
      </c>
    </row>
    <row r="24" ht="12.75" customHeight="1">
      <c r="A24" s="2" t="s">
        <v>31</v>
      </c>
      <c r="B24" s="2" t="s">
        <v>90</v>
      </c>
      <c r="C24" s="2" t="s">
        <v>15</v>
      </c>
      <c r="D24" s="2" t="s">
        <v>15</v>
      </c>
      <c r="E24" s="2" t="s">
        <v>17</v>
      </c>
      <c r="F24" s="2" t="s">
        <v>89</v>
      </c>
      <c r="G24" s="2" t="s">
        <v>90</v>
      </c>
      <c r="H24" s="2" t="s">
        <v>89</v>
      </c>
      <c r="I24" s="2" t="s">
        <v>89</v>
      </c>
      <c r="J24" s="2" t="s">
        <v>90</v>
      </c>
      <c r="K24" s="2" t="s">
        <v>16</v>
      </c>
      <c r="L24" s="2" t="s">
        <v>90</v>
      </c>
      <c r="M24" s="2" t="s">
        <v>90</v>
      </c>
      <c r="N24" s="2" t="s">
        <v>90</v>
      </c>
      <c r="O24" s="2" t="s">
        <v>90</v>
      </c>
      <c r="P24" s="2" t="s">
        <v>90</v>
      </c>
      <c r="Q24" s="2" t="s">
        <v>89</v>
      </c>
      <c r="R24" s="2" t="s">
        <v>31</v>
      </c>
    </row>
    <row r="25" ht="12.75" customHeight="1">
      <c r="A25" s="2" t="s">
        <v>201</v>
      </c>
      <c r="B25" s="2" t="s">
        <v>17</v>
      </c>
      <c r="C25" s="2" t="s">
        <v>89</v>
      </c>
      <c r="D25" s="2" t="s">
        <v>16</v>
      </c>
      <c r="E25" s="2" t="s">
        <v>15</v>
      </c>
      <c r="F25" s="2" t="s">
        <v>16</v>
      </c>
      <c r="G25" s="2" t="s">
        <v>89</v>
      </c>
      <c r="H25" s="2" t="s">
        <v>89</v>
      </c>
      <c r="I25" s="2" t="s">
        <v>89</v>
      </c>
      <c r="J25" s="2" t="s">
        <v>17</v>
      </c>
      <c r="K25" s="2" t="s">
        <v>15</v>
      </c>
      <c r="L25" s="2" t="s">
        <v>90</v>
      </c>
      <c r="M25" s="2" t="s">
        <v>90</v>
      </c>
      <c r="N25" s="2" t="s">
        <v>90</v>
      </c>
      <c r="O25" s="2" t="s">
        <v>90</v>
      </c>
      <c r="P25" s="2" t="s">
        <v>90</v>
      </c>
      <c r="Q25" s="2" t="s">
        <v>89</v>
      </c>
      <c r="R25" s="2" t="s">
        <v>201</v>
      </c>
    </row>
    <row r="26" ht="12.75" customHeight="1">
      <c r="A26" s="2" t="s">
        <v>202</v>
      </c>
      <c r="B26" s="2" t="s">
        <v>15</v>
      </c>
      <c r="C26" s="2" t="s">
        <v>90</v>
      </c>
      <c r="D26" s="2" t="s">
        <v>16</v>
      </c>
      <c r="E26" s="2" t="s">
        <v>90</v>
      </c>
      <c r="F26" s="2" t="s">
        <v>16</v>
      </c>
      <c r="G26" s="2" t="s">
        <v>90</v>
      </c>
      <c r="H26" s="2" t="s">
        <v>90</v>
      </c>
      <c r="I26" s="2" t="s">
        <v>90</v>
      </c>
      <c r="J26" s="2" t="s">
        <v>90</v>
      </c>
      <c r="K26" s="2" t="s">
        <v>15</v>
      </c>
      <c r="L26" s="2" t="s">
        <v>90</v>
      </c>
      <c r="M26" s="2" t="s">
        <v>90</v>
      </c>
      <c r="N26" s="2" t="s">
        <v>90</v>
      </c>
      <c r="O26" s="2" t="s">
        <v>90</v>
      </c>
      <c r="P26" s="2" t="s">
        <v>90</v>
      </c>
      <c r="Q26" s="2" t="s">
        <v>90</v>
      </c>
      <c r="R26" s="2" t="s">
        <v>202</v>
      </c>
    </row>
    <row r="27" ht="12.75" customHeight="1">
      <c r="A27" s="2" t="s">
        <v>196</v>
      </c>
      <c r="B27" s="2" t="s">
        <v>90</v>
      </c>
      <c r="C27" s="2" t="s">
        <v>17</v>
      </c>
      <c r="D27" s="2" t="s">
        <v>90</v>
      </c>
      <c r="E27" s="2" t="s">
        <v>16</v>
      </c>
      <c r="F27" s="2" t="s">
        <v>15</v>
      </c>
      <c r="G27" s="2" t="s">
        <v>90</v>
      </c>
      <c r="H27" s="2" t="s">
        <v>90</v>
      </c>
      <c r="I27" s="2" t="s">
        <v>90</v>
      </c>
      <c r="J27" s="2" t="s">
        <v>89</v>
      </c>
      <c r="K27" s="2" t="s">
        <v>90</v>
      </c>
      <c r="L27" s="2" t="s">
        <v>90</v>
      </c>
      <c r="M27" s="2" t="s">
        <v>90</v>
      </c>
      <c r="N27" s="2" t="s">
        <v>90</v>
      </c>
      <c r="O27" s="2" t="s">
        <v>90</v>
      </c>
      <c r="P27" s="2" t="s">
        <v>90</v>
      </c>
      <c r="Q27" s="2" t="s">
        <v>90</v>
      </c>
      <c r="R27" s="2" t="s">
        <v>196</v>
      </c>
    </row>
    <row r="28" ht="12.75" customHeight="1">
      <c r="A28" s="2" t="s">
        <v>352</v>
      </c>
      <c r="B28" s="2" t="s">
        <v>89</v>
      </c>
      <c r="C28" s="2" t="s">
        <v>90</v>
      </c>
      <c r="D28" s="2" t="s">
        <v>15</v>
      </c>
      <c r="E28" s="2" t="s">
        <v>16</v>
      </c>
      <c r="F28" s="2" t="s">
        <v>15</v>
      </c>
      <c r="G28" s="2" t="s">
        <v>90</v>
      </c>
      <c r="H28" s="2" t="s">
        <v>15</v>
      </c>
      <c r="I28" s="2" t="s">
        <v>89</v>
      </c>
      <c r="J28" s="2" t="s">
        <v>89</v>
      </c>
      <c r="K28" s="2" t="s">
        <v>89</v>
      </c>
      <c r="L28" s="2" t="s">
        <v>90</v>
      </c>
      <c r="M28" s="2" t="s">
        <v>90</v>
      </c>
      <c r="N28" s="2" t="s">
        <v>90</v>
      </c>
      <c r="O28" s="2" t="s">
        <v>90</v>
      </c>
      <c r="P28" s="2" t="s">
        <v>90</v>
      </c>
      <c r="Q28" s="2" t="s">
        <v>90</v>
      </c>
      <c r="R28" s="2" t="s">
        <v>352</v>
      </c>
    </row>
    <row r="29" ht="12.75" customHeight="1">
      <c r="A29" s="2" t="s">
        <v>33</v>
      </c>
      <c r="B29" s="2" t="s">
        <v>15</v>
      </c>
      <c r="C29" s="2" t="s">
        <v>90</v>
      </c>
      <c r="D29" s="2" t="s">
        <v>90</v>
      </c>
      <c r="E29" s="2" t="s">
        <v>17</v>
      </c>
      <c r="F29" s="2" t="s">
        <v>16</v>
      </c>
      <c r="G29" s="2" t="s">
        <v>90</v>
      </c>
      <c r="H29" s="2" t="s">
        <v>90</v>
      </c>
      <c r="I29" s="2" t="s">
        <v>90</v>
      </c>
      <c r="J29" s="2" t="s">
        <v>89</v>
      </c>
      <c r="K29" s="2" t="s">
        <v>90</v>
      </c>
      <c r="L29" s="2" t="s">
        <v>90</v>
      </c>
      <c r="M29" s="2" t="s">
        <v>90</v>
      </c>
      <c r="N29" s="2" t="s">
        <v>90</v>
      </c>
      <c r="O29" s="2" t="s">
        <v>90</v>
      </c>
      <c r="P29" s="2" t="s">
        <v>90</v>
      </c>
      <c r="Q29" s="2" t="s">
        <v>90</v>
      </c>
      <c r="R29" s="2" t="s">
        <v>33</v>
      </c>
    </row>
    <row r="30" ht="12.75" customHeight="1">
      <c r="A30" s="2" t="s">
        <v>353</v>
      </c>
      <c r="B30" s="2" t="s">
        <v>17</v>
      </c>
      <c r="C30" s="2" t="s">
        <v>90</v>
      </c>
      <c r="D30" s="2" t="s">
        <v>90</v>
      </c>
      <c r="E30" s="2" t="s">
        <v>15</v>
      </c>
      <c r="F30" s="2" t="s">
        <v>16</v>
      </c>
      <c r="G30" s="2" t="s">
        <v>90</v>
      </c>
      <c r="H30" s="2" t="s">
        <v>90</v>
      </c>
      <c r="I30" s="2" t="s">
        <v>90</v>
      </c>
      <c r="J30" s="2" t="s">
        <v>89</v>
      </c>
      <c r="K30" s="2" t="s">
        <v>90</v>
      </c>
      <c r="L30" s="2" t="s">
        <v>90</v>
      </c>
      <c r="M30" s="2" t="s">
        <v>90</v>
      </c>
      <c r="N30" s="2" t="s">
        <v>90</v>
      </c>
      <c r="O30" s="2" t="s">
        <v>90</v>
      </c>
      <c r="P30" s="2" t="s">
        <v>90</v>
      </c>
      <c r="Q30" s="2" t="s">
        <v>90</v>
      </c>
      <c r="R30" s="2" t="s">
        <v>353</v>
      </c>
    </row>
    <row r="31" ht="12.75" customHeight="1">
      <c r="A31" s="2" t="s">
        <v>44</v>
      </c>
      <c r="B31" s="2" t="s">
        <v>15</v>
      </c>
      <c r="C31" s="2" t="s">
        <v>90</v>
      </c>
      <c r="D31" s="2" t="s">
        <v>90</v>
      </c>
      <c r="E31" s="2" t="s">
        <v>16</v>
      </c>
      <c r="F31" s="2" t="s">
        <v>89</v>
      </c>
      <c r="G31" s="2" t="s">
        <v>90</v>
      </c>
      <c r="H31" s="2" t="s">
        <v>89</v>
      </c>
      <c r="I31" s="2" t="s">
        <v>17</v>
      </c>
      <c r="J31" s="2" t="s">
        <v>89</v>
      </c>
      <c r="K31" s="2" t="s">
        <v>90</v>
      </c>
      <c r="L31" s="2" t="s">
        <v>90</v>
      </c>
      <c r="M31" s="2" t="s">
        <v>90</v>
      </c>
      <c r="N31" s="2" t="s">
        <v>90</v>
      </c>
      <c r="O31" s="2" t="s">
        <v>90</v>
      </c>
      <c r="P31" s="2" t="s">
        <v>90</v>
      </c>
      <c r="Q31" s="2" t="s">
        <v>90</v>
      </c>
      <c r="R31" s="2" t="s">
        <v>44</v>
      </c>
    </row>
    <row r="32" ht="12.75" customHeight="1">
      <c r="A32" s="2" t="s">
        <v>196</v>
      </c>
      <c r="B32" s="2" t="s">
        <v>15</v>
      </c>
      <c r="C32" s="2" t="s">
        <v>90</v>
      </c>
      <c r="D32" s="2" t="s">
        <v>90</v>
      </c>
      <c r="E32" s="2" t="s">
        <v>16</v>
      </c>
      <c r="F32" s="2" t="s">
        <v>15</v>
      </c>
      <c r="G32" s="2" t="s">
        <v>90</v>
      </c>
      <c r="H32" s="2" t="s">
        <v>90</v>
      </c>
      <c r="I32" s="2" t="s">
        <v>90</v>
      </c>
      <c r="J32" s="2" t="s">
        <v>17</v>
      </c>
      <c r="K32" s="2" t="s">
        <v>90</v>
      </c>
      <c r="L32" s="2" t="s">
        <v>90</v>
      </c>
      <c r="M32" s="2" t="s">
        <v>90</v>
      </c>
      <c r="N32" s="2" t="s">
        <v>90</v>
      </c>
      <c r="O32" s="2" t="s">
        <v>90</v>
      </c>
      <c r="P32" s="2" t="s">
        <v>90</v>
      </c>
      <c r="Q32" s="2" t="s">
        <v>90</v>
      </c>
      <c r="R32" s="2" t="s">
        <v>196</v>
      </c>
    </row>
    <row r="33" ht="12.75" customHeight="1">
      <c r="A33" s="2" t="s">
        <v>201</v>
      </c>
      <c r="B33" s="2" t="s">
        <v>17</v>
      </c>
      <c r="C33" s="2" t="s">
        <v>90</v>
      </c>
      <c r="D33" s="2" t="s">
        <v>90</v>
      </c>
      <c r="E33" s="2" t="s">
        <v>15</v>
      </c>
      <c r="F33" s="2" t="s">
        <v>16</v>
      </c>
      <c r="G33" s="2" t="s">
        <v>89</v>
      </c>
      <c r="H33" s="2" t="s">
        <v>89</v>
      </c>
      <c r="I33" s="2" t="s">
        <v>89</v>
      </c>
      <c r="J33" s="2" t="s">
        <v>90</v>
      </c>
      <c r="K33" s="2" t="s">
        <v>90</v>
      </c>
      <c r="L33" s="2" t="s">
        <v>90</v>
      </c>
      <c r="M33" s="2" t="s">
        <v>90</v>
      </c>
      <c r="N33" s="2" t="s">
        <v>90</v>
      </c>
      <c r="O33" s="2" t="s">
        <v>90</v>
      </c>
      <c r="P33" s="2" t="s">
        <v>90</v>
      </c>
      <c r="Q33" s="2" t="s">
        <v>90</v>
      </c>
      <c r="R33" s="2" t="s">
        <v>201</v>
      </c>
    </row>
    <row r="34" ht="12.75" customHeight="1">
      <c r="A34" s="2" t="s">
        <v>354</v>
      </c>
      <c r="B34" s="2" t="s">
        <v>16</v>
      </c>
      <c r="C34" s="2" t="s">
        <v>90</v>
      </c>
      <c r="D34" s="2" t="s">
        <v>90</v>
      </c>
      <c r="E34" s="2" t="s">
        <v>15</v>
      </c>
      <c r="F34" s="2" t="s">
        <v>16</v>
      </c>
      <c r="G34" s="2" t="s">
        <v>90</v>
      </c>
      <c r="H34" s="2" t="s">
        <v>15</v>
      </c>
      <c r="I34" s="2" t="s">
        <v>15</v>
      </c>
      <c r="J34" s="2" t="s">
        <v>16</v>
      </c>
      <c r="K34" s="2" t="s">
        <v>90</v>
      </c>
      <c r="L34" s="2" t="s">
        <v>90</v>
      </c>
      <c r="M34" s="2" t="s">
        <v>90</v>
      </c>
      <c r="N34" s="2" t="s">
        <v>90</v>
      </c>
      <c r="O34" s="2" t="s">
        <v>90</v>
      </c>
      <c r="P34" s="2" t="s">
        <v>90</v>
      </c>
      <c r="Q34" s="2" t="s">
        <v>90</v>
      </c>
      <c r="R34" s="2" t="s">
        <v>354</v>
      </c>
    </row>
    <row r="35" ht="12.75" customHeight="1">
      <c r="A35" s="2" t="s">
        <v>31</v>
      </c>
      <c r="B35" s="2" t="s">
        <v>16</v>
      </c>
      <c r="C35" s="2" t="s">
        <v>90</v>
      </c>
      <c r="D35" s="2" t="s">
        <v>90</v>
      </c>
      <c r="E35" s="2" t="s">
        <v>89</v>
      </c>
      <c r="F35" s="2" t="s">
        <v>15</v>
      </c>
      <c r="G35" s="2" t="s">
        <v>89</v>
      </c>
      <c r="H35" s="2" t="s">
        <v>90</v>
      </c>
      <c r="I35" s="2" t="s">
        <v>90</v>
      </c>
      <c r="J35" s="2" t="s">
        <v>17</v>
      </c>
      <c r="K35" s="2" t="s">
        <v>90</v>
      </c>
      <c r="L35" s="2" t="s">
        <v>90</v>
      </c>
      <c r="M35" s="2" t="s">
        <v>90</v>
      </c>
      <c r="N35" s="2" t="s">
        <v>90</v>
      </c>
      <c r="O35" s="2" t="s">
        <v>89</v>
      </c>
      <c r="P35" s="2" t="s">
        <v>90</v>
      </c>
      <c r="Q35" s="2" t="s">
        <v>90</v>
      </c>
      <c r="R35" s="2" t="s">
        <v>31</v>
      </c>
    </row>
    <row r="36" ht="12.75" customHeight="1">
      <c r="A36" s="2" t="s">
        <v>355</v>
      </c>
      <c r="B36" s="2" t="s">
        <v>17</v>
      </c>
      <c r="C36" s="2" t="s">
        <v>90</v>
      </c>
      <c r="D36" s="2" t="s">
        <v>90</v>
      </c>
      <c r="E36" s="2" t="s">
        <v>89</v>
      </c>
      <c r="F36" s="2" t="s">
        <v>15</v>
      </c>
      <c r="G36" s="2" t="s">
        <v>90</v>
      </c>
      <c r="H36" s="2" t="s">
        <v>90</v>
      </c>
      <c r="I36" s="2" t="s">
        <v>90</v>
      </c>
      <c r="J36" s="2" t="s">
        <v>16</v>
      </c>
      <c r="K36" s="2" t="s">
        <v>90</v>
      </c>
      <c r="L36" s="2" t="s">
        <v>90</v>
      </c>
      <c r="M36" s="2" t="s">
        <v>90</v>
      </c>
      <c r="N36" s="2" t="s">
        <v>90</v>
      </c>
      <c r="O36" s="2" t="s">
        <v>90</v>
      </c>
      <c r="P36" s="2" t="s">
        <v>90</v>
      </c>
      <c r="Q36" s="2" t="s">
        <v>90</v>
      </c>
      <c r="R36" s="2" t="s">
        <v>355</v>
      </c>
    </row>
    <row r="37" ht="12.75" customHeight="1">
      <c r="A37" s="2" t="s">
        <v>356</v>
      </c>
      <c r="B37" s="2" t="s">
        <v>89</v>
      </c>
      <c r="C37" s="2" t="s">
        <v>90</v>
      </c>
      <c r="D37" s="2" t="s">
        <v>90</v>
      </c>
      <c r="E37" s="2" t="s">
        <v>17</v>
      </c>
      <c r="F37" s="2" t="s">
        <v>16</v>
      </c>
      <c r="G37" s="2" t="s">
        <v>89</v>
      </c>
      <c r="H37" s="2" t="s">
        <v>15</v>
      </c>
      <c r="I37" s="2" t="s">
        <v>17</v>
      </c>
      <c r="J37" s="2" t="s">
        <v>89</v>
      </c>
      <c r="K37" s="2" t="s">
        <v>90</v>
      </c>
      <c r="L37" s="2" t="s">
        <v>90</v>
      </c>
      <c r="M37" s="2" t="s">
        <v>90</v>
      </c>
      <c r="N37" s="2" t="s">
        <v>90</v>
      </c>
      <c r="O37" s="2" t="s">
        <v>89</v>
      </c>
      <c r="P37" s="2" t="s">
        <v>90</v>
      </c>
      <c r="Q37" s="2" t="s">
        <v>90</v>
      </c>
      <c r="R37" s="2" t="s">
        <v>356</v>
      </c>
    </row>
    <row r="38" ht="12.75" customHeight="1">
      <c r="A38" s="2" t="s">
        <v>357</v>
      </c>
      <c r="B38" s="2" t="s">
        <v>17</v>
      </c>
      <c r="C38" s="2" t="s">
        <v>90</v>
      </c>
      <c r="D38" s="2" t="s">
        <v>90</v>
      </c>
      <c r="E38" s="2" t="s">
        <v>15</v>
      </c>
      <c r="F38" s="2" t="s">
        <v>16</v>
      </c>
      <c r="G38" s="2" t="s">
        <v>89</v>
      </c>
      <c r="H38" s="2" t="s">
        <v>89</v>
      </c>
      <c r="I38" s="2" t="s">
        <v>17</v>
      </c>
      <c r="J38" s="2" t="s">
        <v>89</v>
      </c>
      <c r="K38" s="2" t="s">
        <v>90</v>
      </c>
      <c r="L38" s="2" t="s">
        <v>90</v>
      </c>
      <c r="M38" s="2" t="s">
        <v>90</v>
      </c>
      <c r="N38" s="2" t="s">
        <v>90</v>
      </c>
      <c r="O38" s="2" t="s">
        <v>89</v>
      </c>
      <c r="P38" s="2" t="s">
        <v>90</v>
      </c>
      <c r="Q38" s="2" t="s">
        <v>90</v>
      </c>
      <c r="R38" s="2" t="s">
        <v>357</v>
      </c>
    </row>
    <row r="39" ht="12.75" customHeight="1">
      <c r="A39" s="2" t="s">
        <v>358</v>
      </c>
      <c r="B39" s="2" t="s">
        <v>15</v>
      </c>
      <c r="C39" s="2" t="s">
        <v>90</v>
      </c>
      <c r="D39" s="2" t="s">
        <v>90</v>
      </c>
      <c r="E39" s="2" t="s">
        <v>15</v>
      </c>
      <c r="F39" s="2" t="s">
        <v>15</v>
      </c>
      <c r="G39" s="2" t="s">
        <v>15</v>
      </c>
      <c r="H39" s="2" t="s">
        <v>15</v>
      </c>
      <c r="I39" s="2" t="s">
        <v>89</v>
      </c>
      <c r="J39" s="2" t="s">
        <v>16</v>
      </c>
      <c r="K39" s="2" t="s">
        <v>90</v>
      </c>
      <c r="L39" s="2" t="s">
        <v>90</v>
      </c>
      <c r="M39" s="2" t="s">
        <v>90</v>
      </c>
      <c r="N39" s="2" t="s">
        <v>90</v>
      </c>
      <c r="O39" s="2" t="s">
        <v>89</v>
      </c>
      <c r="P39" s="2" t="s">
        <v>90</v>
      </c>
      <c r="Q39" s="2" t="s">
        <v>90</v>
      </c>
      <c r="R39" s="2" t="s">
        <v>358</v>
      </c>
    </row>
    <row r="40" ht="12.75" customHeight="1">
      <c r="A40" s="2" t="s">
        <v>91</v>
      </c>
      <c r="B40" s="2" t="s">
        <v>16</v>
      </c>
      <c r="C40" s="2" t="s">
        <v>90</v>
      </c>
      <c r="D40" s="2" t="s">
        <v>90</v>
      </c>
      <c r="E40" s="2" t="s">
        <v>15</v>
      </c>
      <c r="F40" s="2" t="s">
        <v>17</v>
      </c>
      <c r="G40" s="2" t="s">
        <v>89</v>
      </c>
      <c r="H40" s="2" t="s">
        <v>17</v>
      </c>
      <c r="I40" s="2" t="s">
        <v>89</v>
      </c>
      <c r="J40" s="2" t="s">
        <v>17</v>
      </c>
      <c r="K40" s="2" t="s">
        <v>90</v>
      </c>
      <c r="L40" s="2" t="s">
        <v>17</v>
      </c>
      <c r="M40" s="2" t="s">
        <v>90</v>
      </c>
      <c r="N40" s="2" t="s">
        <v>90</v>
      </c>
      <c r="O40" s="2" t="s">
        <v>90</v>
      </c>
      <c r="P40" s="2" t="s">
        <v>90</v>
      </c>
      <c r="Q40" s="2" t="s">
        <v>90</v>
      </c>
      <c r="R40" s="2" t="s">
        <v>91</v>
      </c>
    </row>
    <row r="41" ht="12.75" customHeight="1">
      <c r="A41" s="2">
        <v>-1.0</v>
      </c>
      <c r="B41" s="2" t="s">
        <v>16</v>
      </c>
      <c r="C41" s="2" t="s">
        <v>90</v>
      </c>
      <c r="D41" s="2" t="s">
        <v>90</v>
      </c>
      <c r="E41" s="2" t="s">
        <v>17</v>
      </c>
      <c r="F41" s="2" t="s">
        <v>15</v>
      </c>
      <c r="G41" s="2" t="s">
        <v>90</v>
      </c>
      <c r="H41" s="2" t="s">
        <v>90</v>
      </c>
      <c r="I41" s="2" t="s">
        <v>89</v>
      </c>
      <c r="J41" s="2" t="s">
        <v>90</v>
      </c>
      <c r="K41" s="2" t="s">
        <v>90</v>
      </c>
      <c r="L41" s="2" t="s">
        <v>90</v>
      </c>
      <c r="M41" s="2" t="s">
        <v>90</v>
      </c>
      <c r="N41" s="2" t="s">
        <v>90</v>
      </c>
      <c r="O41" s="2" t="s">
        <v>90</v>
      </c>
      <c r="P41" s="2" t="s">
        <v>90</v>
      </c>
      <c r="Q41" s="2" t="s">
        <v>90</v>
      </c>
      <c r="R41" s="2">
        <v>-1.0</v>
      </c>
    </row>
    <row r="42" ht="12.75" customHeight="1">
      <c r="A42" s="2" t="s">
        <v>33</v>
      </c>
      <c r="B42" s="2" t="s">
        <v>15</v>
      </c>
      <c r="C42" s="2" t="s">
        <v>90</v>
      </c>
      <c r="D42" s="2" t="s">
        <v>90</v>
      </c>
      <c r="E42" s="2" t="s">
        <v>16</v>
      </c>
      <c r="F42" s="2" t="s">
        <v>17</v>
      </c>
      <c r="G42" s="2" t="s">
        <v>90</v>
      </c>
      <c r="H42" s="2" t="s">
        <v>90</v>
      </c>
      <c r="I42" s="2" t="s">
        <v>89</v>
      </c>
      <c r="J42" s="2" t="s">
        <v>90</v>
      </c>
      <c r="K42" s="2" t="s">
        <v>90</v>
      </c>
      <c r="L42" s="2" t="s">
        <v>90</v>
      </c>
      <c r="M42" s="2" t="s">
        <v>90</v>
      </c>
      <c r="N42" s="2" t="s">
        <v>90</v>
      </c>
      <c r="O42" s="2" t="s">
        <v>90</v>
      </c>
      <c r="P42" s="2" t="s">
        <v>90</v>
      </c>
      <c r="Q42" s="2" t="s">
        <v>90</v>
      </c>
      <c r="R42" s="2" t="s">
        <v>33</v>
      </c>
    </row>
    <row r="43" ht="12.75" customHeight="1">
      <c r="A43" s="2" t="s">
        <v>29</v>
      </c>
      <c r="B43" s="2" t="s">
        <v>16</v>
      </c>
      <c r="C43" s="2" t="s">
        <v>90</v>
      </c>
      <c r="D43" s="2" t="s">
        <v>90</v>
      </c>
      <c r="E43" s="2" t="s">
        <v>15</v>
      </c>
      <c r="F43" s="2" t="s">
        <v>15</v>
      </c>
      <c r="G43" s="2" t="s">
        <v>90</v>
      </c>
      <c r="H43" s="2" t="s">
        <v>90</v>
      </c>
      <c r="I43" s="2" t="s">
        <v>16</v>
      </c>
      <c r="J43" s="2" t="s">
        <v>15</v>
      </c>
      <c r="K43" s="2" t="s">
        <v>90</v>
      </c>
      <c r="L43" s="2" t="s">
        <v>90</v>
      </c>
      <c r="M43" s="2" t="s">
        <v>90</v>
      </c>
      <c r="N43" s="2" t="s">
        <v>90</v>
      </c>
      <c r="O43" s="2" t="s">
        <v>90</v>
      </c>
      <c r="P43" s="2" t="s">
        <v>90</v>
      </c>
      <c r="Q43" s="2" t="s">
        <v>90</v>
      </c>
      <c r="R43" s="2" t="s">
        <v>29</v>
      </c>
    </row>
    <row r="44" ht="12.75" customHeight="1">
      <c r="A44" s="2" t="s">
        <v>359</v>
      </c>
      <c r="B44" s="2" t="s">
        <v>89</v>
      </c>
      <c r="C44" s="2" t="s">
        <v>90</v>
      </c>
      <c r="D44" s="2" t="s">
        <v>90</v>
      </c>
      <c r="E44" s="2" t="s">
        <v>89</v>
      </c>
      <c r="F44" s="2" t="s">
        <v>17</v>
      </c>
      <c r="G44" s="2" t="s">
        <v>89</v>
      </c>
      <c r="H44" s="2" t="s">
        <v>16</v>
      </c>
      <c r="I44" s="2" t="s">
        <v>89</v>
      </c>
      <c r="J44" s="2" t="s">
        <v>89</v>
      </c>
      <c r="K44" s="2" t="s">
        <v>90</v>
      </c>
      <c r="L44" s="2" t="s">
        <v>90</v>
      </c>
      <c r="M44" s="2" t="s">
        <v>90</v>
      </c>
      <c r="N44" s="2" t="s">
        <v>90</v>
      </c>
      <c r="O44" s="2" t="s">
        <v>15</v>
      </c>
      <c r="P44" s="2" t="s">
        <v>90</v>
      </c>
      <c r="Q44" s="2" t="s">
        <v>90</v>
      </c>
      <c r="R44" s="2" t="s">
        <v>359</v>
      </c>
    </row>
    <row r="45" ht="12.75" customHeight="1">
      <c r="A45" s="2" t="s">
        <v>18</v>
      </c>
      <c r="B45" s="2" t="s">
        <v>16</v>
      </c>
      <c r="C45" s="2" t="s">
        <v>90</v>
      </c>
      <c r="D45" s="2" t="s">
        <v>90</v>
      </c>
      <c r="E45" s="2" t="s">
        <v>15</v>
      </c>
      <c r="F45" s="2" t="s">
        <v>15</v>
      </c>
      <c r="G45" s="2" t="s">
        <v>90</v>
      </c>
      <c r="H45" s="2" t="s">
        <v>90</v>
      </c>
      <c r="I45" s="2" t="s">
        <v>16</v>
      </c>
      <c r="J45" s="2" t="s">
        <v>15</v>
      </c>
      <c r="K45" s="2" t="s">
        <v>90</v>
      </c>
      <c r="L45" s="2" t="s">
        <v>90</v>
      </c>
      <c r="M45" s="2" t="s">
        <v>90</v>
      </c>
      <c r="N45" s="2" t="s">
        <v>90</v>
      </c>
      <c r="O45" s="2" t="s">
        <v>90</v>
      </c>
      <c r="P45" s="2" t="s">
        <v>90</v>
      </c>
      <c r="Q45" s="2" t="s">
        <v>90</v>
      </c>
      <c r="R45" s="2" t="s">
        <v>18</v>
      </c>
    </row>
    <row r="46" ht="12.75" customHeight="1">
      <c r="A46" s="2">
        <v>-1.0</v>
      </c>
      <c r="B46" s="2" t="s">
        <v>17</v>
      </c>
      <c r="C46" s="2" t="s">
        <v>90</v>
      </c>
      <c r="D46" s="2" t="s">
        <v>90</v>
      </c>
      <c r="E46" s="2" t="s">
        <v>16</v>
      </c>
      <c r="F46" s="2" t="s">
        <v>15</v>
      </c>
      <c r="G46" s="2" t="s">
        <v>90</v>
      </c>
      <c r="H46" s="2" t="s">
        <v>90</v>
      </c>
      <c r="I46" s="2" t="s">
        <v>90</v>
      </c>
      <c r="J46" s="2" t="s">
        <v>90</v>
      </c>
      <c r="K46" s="2" t="s">
        <v>90</v>
      </c>
      <c r="L46" s="2" t="s">
        <v>89</v>
      </c>
      <c r="M46" s="2" t="s">
        <v>90</v>
      </c>
      <c r="N46" s="2" t="s">
        <v>90</v>
      </c>
      <c r="O46" s="2" t="s">
        <v>90</v>
      </c>
      <c r="P46" s="2" t="s">
        <v>90</v>
      </c>
      <c r="Q46" s="2" t="s">
        <v>90</v>
      </c>
      <c r="R46" s="2">
        <v>-1.0</v>
      </c>
    </row>
    <row r="47" ht="12.75" customHeight="1">
      <c r="A47" s="2" t="s">
        <v>110</v>
      </c>
      <c r="B47" s="2" t="s">
        <v>15</v>
      </c>
      <c r="C47" s="2" t="s">
        <v>90</v>
      </c>
      <c r="D47" s="2" t="s">
        <v>90</v>
      </c>
      <c r="E47" s="2" t="s">
        <v>16</v>
      </c>
      <c r="F47" s="2" t="s">
        <v>16</v>
      </c>
      <c r="G47" s="2" t="s">
        <v>90</v>
      </c>
      <c r="H47" s="2" t="s">
        <v>90</v>
      </c>
      <c r="I47" s="2" t="s">
        <v>90</v>
      </c>
      <c r="J47" s="2" t="s">
        <v>90</v>
      </c>
      <c r="K47" s="2" t="s">
        <v>90</v>
      </c>
      <c r="L47" s="2" t="s">
        <v>90</v>
      </c>
      <c r="M47" s="2" t="s">
        <v>90</v>
      </c>
      <c r="N47" s="2" t="s">
        <v>90</v>
      </c>
      <c r="O47" s="2" t="s">
        <v>90</v>
      </c>
      <c r="P47" s="2" t="s">
        <v>90</v>
      </c>
      <c r="Q47" s="2" t="s">
        <v>90</v>
      </c>
      <c r="R47" s="2" t="s">
        <v>110</v>
      </c>
    </row>
    <row r="48" ht="12.75" customHeight="1">
      <c r="A48" s="2" t="s">
        <v>354</v>
      </c>
      <c r="B48" s="2" t="s">
        <v>15</v>
      </c>
      <c r="C48" s="2" t="s">
        <v>90</v>
      </c>
      <c r="D48" s="2" t="s">
        <v>90</v>
      </c>
      <c r="E48" s="2" t="s">
        <v>16</v>
      </c>
      <c r="F48" s="2" t="s">
        <v>16</v>
      </c>
      <c r="G48" s="2" t="s">
        <v>90</v>
      </c>
      <c r="H48" s="2" t="s">
        <v>90</v>
      </c>
      <c r="I48" s="2" t="s">
        <v>90</v>
      </c>
      <c r="J48" s="2" t="s">
        <v>15</v>
      </c>
      <c r="K48" s="2" t="s">
        <v>90</v>
      </c>
      <c r="L48" s="2" t="s">
        <v>90</v>
      </c>
      <c r="M48" s="2" t="s">
        <v>90</v>
      </c>
      <c r="N48" s="2" t="s">
        <v>90</v>
      </c>
      <c r="O48" s="2" t="s">
        <v>90</v>
      </c>
      <c r="P48" s="2" t="s">
        <v>90</v>
      </c>
      <c r="Q48" s="2" t="s">
        <v>90</v>
      </c>
      <c r="R48" s="2" t="s">
        <v>354</v>
      </c>
    </row>
    <row r="49" ht="12.75" customHeight="1">
      <c r="A49" s="2" t="s">
        <v>360</v>
      </c>
      <c r="B49" s="2" t="s">
        <v>15</v>
      </c>
      <c r="C49" s="2" t="s">
        <v>90</v>
      </c>
      <c r="D49" s="2" t="s">
        <v>90</v>
      </c>
      <c r="E49" s="2" t="s">
        <v>17</v>
      </c>
      <c r="F49" s="2" t="s">
        <v>16</v>
      </c>
      <c r="G49" s="2" t="s">
        <v>90</v>
      </c>
      <c r="H49" s="2" t="s">
        <v>90</v>
      </c>
      <c r="I49" s="2" t="s">
        <v>90</v>
      </c>
      <c r="J49" s="2" t="s">
        <v>89</v>
      </c>
      <c r="K49" s="2" t="s">
        <v>90</v>
      </c>
      <c r="L49" s="2" t="s">
        <v>90</v>
      </c>
      <c r="M49" s="2" t="s">
        <v>90</v>
      </c>
      <c r="N49" s="2" t="s">
        <v>90</v>
      </c>
      <c r="O49" s="2" t="s">
        <v>90</v>
      </c>
      <c r="P49" s="2" t="s">
        <v>90</v>
      </c>
      <c r="Q49" s="2" t="s">
        <v>90</v>
      </c>
      <c r="R49" s="2" t="s">
        <v>360</v>
      </c>
    </row>
    <row r="50" ht="12.75" customHeight="1">
      <c r="A50" s="2" t="s">
        <v>23</v>
      </c>
      <c r="B50" s="2" t="s">
        <v>16</v>
      </c>
      <c r="C50" s="2" t="s">
        <v>90</v>
      </c>
      <c r="D50" s="2" t="s">
        <v>90</v>
      </c>
      <c r="E50" s="2" t="s">
        <v>15</v>
      </c>
      <c r="F50" s="2" t="s">
        <v>17</v>
      </c>
      <c r="G50" s="2" t="s">
        <v>15</v>
      </c>
      <c r="H50" s="2" t="s">
        <v>89</v>
      </c>
      <c r="I50" s="2" t="s">
        <v>17</v>
      </c>
      <c r="J50" s="2" t="s">
        <v>89</v>
      </c>
      <c r="K50" s="2" t="s">
        <v>90</v>
      </c>
      <c r="L50" s="2" t="s">
        <v>89</v>
      </c>
      <c r="M50" s="2" t="s">
        <v>90</v>
      </c>
      <c r="N50" s="2" t="s">
        <v>90</v>
      </c>
      <c r="O50" s="2" t="s">
        <v>90</v>
      </c>
      <c r="P50" s="2" t="s">
        <v>90</v>
      </c>
      <c r="Q50" s="2" t="s">
        <v>90</v>
      </c>
      <c r="R50" s="2" t="s">
        <v>23</v>
      </c>
    </row>
    <row r="51" ht="12.75" customHeight="1">
      <c r="A51" s="2" t="s">
        <v>23</v>
      </c>
      <c r="B51" s="2" t="s">
        <v>16</v>
      </c>
      <c r="C51" s="2" t="s">
        <v>90</v>
      </c>
      <c r="D51" s="2" t="s">
        <v>90</v>
      </c>
      <c r="E51" s="2" t="s">
        <v>89</v>
      </c>
      <c r="F51" s="2" t="s">
        <v>89</v>
      </c>
      <c r="G51" s="2" t="s">
        <v>89</v>
      </c>
      <c r="H51" s="2" t="s">
        <v>89</v>
      </c>
      <c r="I51" s="2" t="s">
        <v>89</v>
      </c>
      <c r="J51" s="2" t="s">
        <v>89</v>
      </c>
      <c r="K51" s="2" t="s">
        <v>90</v>
      </c>
      <c r="L51" s="2" t="s">
        <v>89</v>
      </c>
      <c r="M51" s="2" t="s">
        <v>90</v>
      </c>
      <c r="N51" s="2" t="s">
        <v>90</v>
      </c>
      <c r="O51" s="2" t="s">
        <v>90</v>
      </c>
      <c r="P51" s="2" t="s">
        <v>90</v>
      </c>
      <c r="Q51" s="2" t="s">
        <v>90</v>
      </c>
      <c r="R51" s="2" t="s">
        <v>23</v>
      </c>
    </row>
    <row r="52" ht="12.75" customHeight="1">
      <c r="A52" s="2" t="s">
        <v>91</v>
      </c>
      <c r="B52" s="2" t="s">
        <v>15</v>
      </c>
      <c r="C52" s="2" t="s">
        <v>90</v>
      </c>
      <c r="D52" s="2" t="s">
        <v>90</v>
      </c>
      <c r="E52" s="2" t="s">
        <v>89</v>
      </c>
      <c r="F52" s="2" t="s">
        <v>16</v>
      </c>
      <c r="G52" s="2" t="s">
        <v>15</v>
      </c>
      <c r="H52" s="2" t="s">
        <v>17</v>
      </c>
      <c r="I52" s="2" t="s">
        <v>15</v>
      </c>
      <c r="J52" s="2" t="s">
        <v>90</v>
      </c>
      <c r="K52" s="2" t="s">
        <v>90</v>
      </c>
      <c r="L52" s="2" t="s">
        <v>89</v>
      </c>
      <c r="M52" s="2" t="s">
        <v>90</v>
      </c>
      <c r="N52" s="2" t="s">
        <v>90</v>
      </c>
      <c r="O52" s="2" t="s">
        <v>90</v>
      </c>
      <c r="P52" s="2" t="s">
        <v>90</v>
      </c>
      <c r="Q52" s="2" t="s">
        <v>90</v>
      </c>
      <c r="R52" s="2" t="s">
        <v>91</v>
      </c>
    </row>
    <row r="53" ht="12.75" customHeight="1">
      <c r="A53" s="2" t="s">
        <v>23</v>
      </c>
      <c r="B53" s="2" t="s">
        <v>90</v>
      </c>
      <c r="C53" s="2" t="s">
        <v>90</v>
      </c>
      <c r="D53" s="2" t="s">
        <v>90</v>
      </c>
      <c r="E53" s="2" t="s">
        <v>90</v>
      </c>
      <c r="F53" s="2" t="s">
        <v>90</v>
      </c>
      <c r="G53" s="2" t="s">
        <v>15</v>
      </c>
      <c r="H53" s="2" t="s">
        <v>90</v>
      </c>
      <c r="I53" s="2" t="s">
        <v>16</v>
      </c>
      <c r="J53" s="2" t="s">
        <v>89</v>
      </c>
      <c r="K53" s="2" t="s">
        <v>90</v>
      </c>
      <c r="L53" s="2" t="s">
        <v>89</v>
      </c>
      <c r="M53" s="2" t="s">
        <v>90</v>
      </c>
      <c r="N53" s="2" t="s">
        <v>90</v>
      </c>
      <c r="O53" s="2" t="s">
        <v>90</v>
      </c>
      <c r="P53" s="2" t="s">
        <v>90</v>
      </c>
      <c r="Q53" s="2" t="s">
        <v>90</v>
      </c>
      <c r="R53" s="2" t="s">
        <v>23</v>
      </c>
    </row>
    <row r="54" ht="12.75" customHeight="1">
      <c r="A54" s="2">
        <v>-1.0</v>
      </c>
      <c r="B54" s="2" t="s">
        <v>16</v>
      </c>
      <c r="C54" s="2" t="s">
        <v>90</v>
      </c>
      <c r="D54" s="2" t="s">
        <v>90</v>
      </c>
      <c r="E54" s="2" t="s">
        <v>17</v>
      </c>
      <c r="F54" s="2" t="s">
        <v>15</v>
      </c>
      <c r="G54" s="2" t="s">
        <v>90</v>
      </c>
      <c r="H54" s="2" t="s">
        <v>90</v>
      </c>
      <c r="I54" s="2" t="s">
        <v>90</v>
      </c>
      <c r="J54" s="2" t="s">
        <v>89</v>
      </c>
      <c r="K54" s="2" t="s">
        <v>90</v>
      </c>
      <c r="L54" s="2" t="s">
        <v>90</v>
      </c>
      <c r="M54" s="2" t="s">
        <v>90</v>
      </c>
      <c r="N54" s="2" t="s">
        <v>90</v>
      </c>
      <c r="O54" s="2" t="s">
        <v>90</v>
      </c>
      <c r="P54" s="2" t="s">
        <v>90</v>
      </c>
      <c r="Q54" s="2" t="s">
        <v>90</v>
      </c>
      <c r="R54" s="2">
        <v>-1.0</v>
      </c>
    </row>
    <row r="55" ht="12.75" customHeight="1">
      <c r="A55" s="2">
        <v>-1.0</v>
      </c>
      <c r="B55" s="2" t="s">
        <v>16</v>
      </c>
      <c r="C55" s="2" t="s">
        <v>90</v>
      </c>
      <c r="D55" s="2" t="s">
        <v>90</v>
      </c>
      <c r="E55" s="2" t="s">
        <v>17</v>
      </c>
      <c r="F55" s="2" t="s">
        <v>15</v>
      </c>
      <c r="G55" s="2" t="s">
        <v>90</v>
      </c>
      <c r="H55" s="2" t="s">
        <v>90</v>
      </c>
      <c r="I55" s="2" t="s">
        <v>90</v>
      </c>
      <c r="J55" s="2" t="s">
        <v>90</v>
      </c>
      <c r="K55" s="2" t="s">
        <v>90</v>
      </c>
      <c r="L55" s="2" t="s">
        <v>90</v>
      </c>
      <c r="M55" s="2" t="s">
        <v>90</v>
      </c>
      <c r="N55" s="2" t="s">
        <v>90</v>
      </c>
      <c r="O55" s="2" t="s">
        <v>90</v>
      </c>
      <c r="P55" s="2" t="s">
        <v>90</v>
      </c>
      <c r="Q55" s="2" t="s">
        <v>90</v>
      </c>
      <c r="R55" s="2">
        <v>-1.0</v>
      </c>
    </row>
    <row r="56" ht="12.75" customHeight="1">
      <c r="A56" s="2" t="s">
        <v>361</v>
      </c>
      <c r="B56" s="2" t="s">
        <v>16</v>
      </c>
      <c r="C56" s="2" t="s">
        <v>90</v>
      </c>
      <c r="D56" s="2" t="s">
        <v>90</v>
      </c>
      <c r="E56" s="2" t="s">
        <v>15</v>
      </c>
      <c r="F56" s="2" t="s">
        <v>15</v>
      </c>
      <c r="G56" s="2" t="s">
        <v>90</v>
      </c>
      <c r="H56" s="2" t="s">
        <v>90</v>
      </c>
      <c r="I56" s="2" t="s">
        <v>90</v>
      </c>
      <c r="J56" s="2" t="s">
        <v>90</v>
      </c>
      <c r="K56" s="2" t="s">
        <v>90</v>
      </c>
      <c r="L56" s="2" t="s">
        <v>90</v>
      </c>
      <c r="M56" s="2" t="s">
        <v>90</v>
      </c>
      <c r="N56" s="2" t="s">
        <v>90</v>
      </c>
      <c r="O56" s="2" t="s">
        <v>90</v>
      </c>
      <c r="P56" s="2" t="s">
        <v>90</v>
      </c>
      <c r="Q56" s="2" t="s">
        <v>90</v>
      </c>
      <c r="R56" s="2" t="s">
        <v>361</v>
      </c>
    </row>
    <row r="57" ht="12.75" customHeight="1">
      <c r="A57" s="2" t="s">
        <v>33</v>
      </c>
      <c r="B57" s="2" t="s">
        <v>17</v>
      </c>
      <c r="C57" s="2" t="s">
        <v>90</v>
      </c>
      <c r="D57" s="2" t="s">
        <v>90</v>
      </c>
      <c r="E57" s="2" t="s">
        <v>15</v>
      </c>
      <c r="F57" s="2" t="s">
        <v>16</v>
      </c>
      <c r="G57" s="2" t="s">
        <v>90</v>
      </c>
      <c r="H57" s="2" t="s">
        <v>90</v>
      </c>
      <c r="I57" s="2" t="s">
        <v>90</v>
      </c>
      <c r="J57" s="2" t="s">
        <v>90</v>
      </c>
      <c r="K57" s="2" t="s">
        <v>90</v>
      </c>
      <c r="L57" s="2" t="s">
        <v>90</v>
      </c>
      <c r="M57" s="2" t="s">
        <v>90</v>
      </c>
      <c r="N57" s="2" t="s">
        <v>90</v>
      </c>
      <c r="O57" s="2" t="s">
        <v>90</v>
      </c>
      <c r="P57" s="2" t="s">
        <v>90</v>
      </c>
      <c r="Q57" s="2" t="s">
        <v>90</v>
      </c>
      <c r="R57" s="2" t="s">
        <v>33</v>
      </c>
    </row>
    <row r="58" ht="12.75" customHeight="1">
      <c r="A58" s="2" t="s">
        <v>23</v>
      </c>
      <c r="B58" s="2" t="s">
        <v>16</v>
      </c>
      <c r="C58" s="2" t="s">
        <v>90</v>
      </c>
      <c r="D58" s="2" t="s">
        <v>90</v>
      </c>
      <c r="E58" s="2" t="s">
        <v>15</v>
      </c>
      <c r="F58" s="2" t="s">
        <v>17</v>
      </c>
      <c r="G58" s="2" t="s">
        <v>90</v>
      </c>
      <c r="H58" s="2" t="s">
        <v>90</v>
      </c>
      <c r="I58" s="2" t="s">
        <v>90</v>
      </c>
      <c r="J58" s="2" t="s">
        <v>90</v>
      </c>
      <c r="K58" s="2" t="s">
        <v>90</v>
      </c>
      <c r="L58" s="2" t="s">
        <v>90</v>
      </c>
      <c r="M58" s="2" t="s">
        <v>90</v>
      </c>
      <c r="N58" s="2" t="s">
        <v>90</v>
      </c>
      <c r="O58" s="2" t="s">
        <v>90</v>
      </c>
      <c r="P58" s="2" t="s">
        <v>90</v>
      </c>
      <c r="Q58" s="2" t="s">
        <v>90</v>
      </c>
      <c r="R58" s="2" t="s">
        <v>23</v>
      </c>
    </row>
    <row r="59" ht="12.75" customHeight="1">
      <c r="A59" s="2" t="s">
        <v>23</v>
      </c>
      <c r="B59" s="2" t="s">
        <v>16</v>
      </c>
      <c r="C59" s="2" t="s">
        <v>90</v>
      </c>
      <c r="D59" s="2" t="s">
        <v>90</v>
      </c>
      <c r="E59" s="2" t="s">
        <v>15</v>
      </c>
      <c r="F59" s="2" t="s">
        <v>17</v>
      </c>
      <c r="G59" s="2" t="s">
        <v>90</v>
      </c>
      <c r="H59" s="2" t="s">
        <v>90</v>
      </c>
      <c r="I59" s="2" t="s">
        <v>90</v>
      </c>
      <c r="J59" s="2" t="s">
        <v>90</v>
      </c>
      <c r="K59" s="2" t="s">
        <v>90</v>
      </c>
      <c r="L59" s="2" t="s">
        <v>90</v>
      </c>
      <c r="M59" s="2" t="s">
        <v>90</v>
      </c>
      <c r="N59" s="2" t="s">
        <v>90</v>
      </c>
      <c r="O59" s="2" t="s">
        <v>90</v>
      </c>
      <c r="P59" s="2" t="s">
        <v>90</v>
      </c>
      <c r="Q59" s="2" t="s">
        <v>90</v>
      </c>
      <c r="R59" s="2" t="s">
        <v>23</v>
      </c>
    </row>
    <row r="60" ht="12.75" customHeight="1">
      <c r="A60" s="2" t="s">
        <v>362</v>
      </c>
      <c r="B60" s="2" t="s">
        <v>15</v>
      </c>
      <c r="C60" s="2" t="s">
        <v>90</v>
      </c>
      <c r="D60" s="2" t="s">
        <v>90</v>
      </c>
      <c r="E60" s="2" t="s">
        <v>16</v>
      </c>
      <c r="F60" s="2" t="s">
        <v>16</v>
      </c>
      <c r="G60" s="2" t="s">
        <v>90</v>
      </c>
      <c r="H60" s="2" t="s">
        <v>90</v>
      </c>
      <c r="I60" s="2" t="s">
        <v>15</v>
      </c>
      <c r="J60" s="2" t="s">
        <v>90</v>
      </c>
      <c r="K60" s="2" t="s">
        <v>90</v>
      </c>
      <c r="L60" s="2" t="s">
        <v>90</v>
      </c>
      <c r="M60" s="2" t="s">
        <v>90</v>
      </c>
      <c r="N60" s="2" t="s">
        <v>90</v>
      </c>
      <c r="O60" s="2" t="s">
        <v>90</v>
      </c>
      <c r="P60" s="2" t="s">
        <v>90</v>
      </c>
      <c r="Q60" s="2" t="s">
        <v>90</v>
      </c>
      <c r="R60" s="2" t="s">
        <v>362</v>
      </c>
    </row>
    <row r="61" ht="12.75" customHeight="1">
      <c r="A61" s="2" t="s">
        <v>354</v>
      </c>
      <c r="B61" s="2" t="s">
        <v>15</v>
      </c>
      <c r="C61" s="2" t="s">
        <v>90</v>
      </c>
      <c r="D61" s="2" t="s">
        <v>90</v>
      </c>
      <c r="E61" s="2" t="s">
        <v>16</v>
      </c>
      <c r="F61" s="2" t="s">
        <v>16</v>
      </c>
      <c r="G61" s="2" t="s">
        <v>90</v>
      </c>
      <c r="H61" s="2" t="s">
        <v>90</v>
      </c>
      <c r="I61" s="2" t="s">
        <v>90</v>
      </c>
      <c r="J61" s="2" t="s">
        <v>15</v>
      </c>
      <c r="K61" s="2" t="s">
        <v>90</v>
      </c>
      <c r="L61" s="2" t="s">
        <v>90</v>
      </c>
      <c r="M61" s="2" t="s">
        <v>90</v>
      </c>
      <c r="N61" s="2" t="s">
        <v>90</v>
      </c>
      <c r="O61" s="2" t="s">
        <v>90</v>
      </c>
      <c r="P61" s="2" t="s">
        <v>90</v>
      </c>
      <c r="Q61" s="2" t="s">
        <v>90</v>
      </c>
      <c r="R61" s="2" t="s">
        <v>354</v>
      </c>
    </row>
    <row r="62" ht="12.75" customHeight="1">
      <c r="A62" s="2" t="s">
        <v>354</v>
      </c>
      <c r="B62" s="2" t="s">
        <v>90</v>
      </c>
      <c r="C62" s="2" t="s">
        <v>90</v>
      </c>
      <c r="D62" s="2" t="s">
        <v>90</v>
      </c>
      <c r="E62" s="2" t="s">
        <v>15</v>
      </c>
      <c r="F62" s="2" t="s">
        <v>15</v>
      </c>
      <c r="G62" s="2" t="s">
        <v>90</v>
      </c>
      <c r="H62" s="2" t="s">
        <v>16</v>
      </c>
      <c r="I62" s="2" t="s">
        <v>16</v>
      </c>
      <c r="J62" s="2" t="s">
        <v>90</v>
      </c>
      <c r="K62" s="2" t="s">
        <v>90</v>
      </c>
      <c r="L62" s="2" t="s">
        <v>90</v>
      </c>
      <c r="M62" s="2" t="s">
        <v>90</v>
      </c>
      <c r="N62" s="2" t="s">
        <v>90</v>
      </c>
      <c r="O62" s="2" t="s">
        <v>90</v>
      </c>
      <c r="P62" s="2" t="s">
        <v>90</v>
      </c>
      <c r="Q62" s="2" t="s">
        <v>90</v>
      </c>
      <c r="R62" s="2" t="s">
        <v>354</v>
      </c>
    </row>
    <row r="63" ht="12.75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customHeight="1"/>
    <row r="100" ht="12.75" customHeight="1">
      <c r="A100" s="2" t="s">
        <v>89</v>
      </c>
      <c r="B100" s="3">
        <f t="array" ref="B100">SUM(IF(B2:B99="v",1))</f>
        <v>6</v>
      </c>
      <c r="C100" s="3">
        <f t="array" ref="C100">SUM(IF(C2:C99="v",1))</f>
        <v>17</v>
      </c>
      <c r="D100" s="3">
        <f t="array" ref="D100">SUM(IF(D2:D99="v",1))</f>
        <v>8</v>
      </c>
      <c r="E100" s="3">
        <f t="array" ref="E100">SUM(IF(E2:E99="v",1))</f>
        <v>16</v>
      </c>
      <c r="F100" s="3">
        <f t="array" ref="F100">SUM(IF(F2:F99="v",1))</f>
        <v>10</v>
      </c>
      <c r="G100" s="3">
        <f t="array" ref="G100">SUM(IF(G2:G99="v",1))</f>
        <v>16</v>
      </c>
      <c r="H100" s="3">
        <f t="array" ref="H100">SUM(IF(H2:H99="v",1))</f>
        <v>19</v>
      </c>
      <c r="I100" s="3">
        <f t="array" ref="I100">SUM(IF(I2:I99="v",1))</f>
        <v>21</v>
      </c>
      <c r="J100" s="3">
        <f t="array" ref="J100">SUM(IF(J2:J99="v",1))</f>
        <v>24</v>
      </c>
      <c r="K100" s="3">
        <f t="array" ref="K100">SUM(IF(K2:K99="v",1))</f>
        <v>8</v>
      </c>
      <c r="L100" s="3">
        <f t="array" ref="L100">SUM(IF(L2:L99="v",1))</f>
        <v>5</v>
      </c>
      <c r="M100" s="3">
        <f t="array" ref="M100">SUM(IF(M2:M99="v",1))</f>
        <v>0</v>
      </c>
      <c r="N100" s="3">
        <f t="array" ref="N100">SUM(IF(N2:N99="v",1))</f>
        <v>0</v>
      </c>
      <c r="O100" s="3">
        <f t="array" ref="O100">SUM(IF(O2:O99="v",1))</f>
        <v>9</v>
      </c>
      <c r="P100" s="3">
        <f t="array" ref="P100">SUM(IF(P2:P99="v",1))</f>
        <v>1</v>
      </c>
      <c r="Q100" s="3">
        <f t="array" ref="Q100">SUM(IF(Q2:Q99="v",1))</f>
        <v>12</v>
      </c>
      <c r="R100" s="2" t="s">
        <v>89</v>
      </c>
    </row>
    <row r="101" ht="12.75" customHeight="1">
      <c r="A101" s="2" t="s">
        <v>90</v>
      </c>
      <c r="B101" s="3">
        <f t="array" ref="B101">SUM(IF(B2:B99="x",1))</f>
        <v>7</v>
      </c>
      <c r="C101" s="3">
        <f t="array" ref="C101">SUM(IF(C2:C99="x",1))</f>
        <v>38</v>
      </c>
      <c r="D101" s="3">
        <f t="array" ref="D101">SUM(IF(D2:D99="x",1))</f>
        <v>44</v>
      </c>
      <c r="E101" s="3">
        <f t="array" ref="E101">SUM(IF(E2:E99="x",1))</f>
        <v>4</v>
      </c>
      <c r="F101" s="3">
        <f t="array" ref="F101">SUM(IF(F2:F99="x",1))</f>
        <v>2</v>
      </c>
      <c r="G101" s="3">
        <f t="array" ref="G101">SUM(IF(G2:G99="x",1))</f>
        <v>36</v>
      </c>
      <c r="H101" s="3">
        <f t="array" ref="H101">SUM(IF(H2:H99="x",1))</f>
        <v>32</v>
      </c>
      <c r="I101" s="3">
        <f t="array" ref="I101">SUM(IF(I2:I99="x",1))</f>
        <v>20</v>
      </c>
      <c r="J101" s="3">
        <f t="array" ref="J101">SUM(IF(J2:J99="x",1))</f>
        <v>18</v>
      </c>
      <c r="K101" s="3">
        <f t="array" ref="K101">SUM(IF(K2:K99="x",1))</f>
        <v>41</v>
      </c>
      <c r="L101" s="3">
        <f t="array" ref="L101">SUM(IF(L2:L99="x",1))</f>
        <v>55</v>
      </c>
      <c r="M101" s="3">
        <f t="array" ref="M101">SUM(IF(M2:M99="x",1))</f>
        <v>61</v>
      </c>
      <c r="N101" s="3">
        <f t="array" ref="N101">SUM(IF(N2:N99="x",1))</f>
        <v>61</v>
      </c>
      <c r="O101" s="3">
        <f t="array" ref="O101">SUM(IF(O2:O99="x",1))</f>
        <v>49</v>
      </c>
      <c r="P101" s="3">
        <f t="array" ref="P101">SUM(IF(P2:P99="x",1))</f>
        <v>60</v>
      </c>
      <c r="Q101" s="3">
        <f t="array" ref="Q101">SUM(IF(Q2:Q99="x",1))</f>
        <v>46</v>
      </c>
      <c r="R101" s="2" t="s">
        <v>90</v>
      </c>
    </row>
    <row r="102" ht="12.75" customHeight="1">
      <c r="A102" s="2" t="s">
        <v>128</v>
      </c>
      <c r="B102" s="3">
        <f t="shared" ref="B102:Q102" si="1">B100+B103+B104+B105</f>
        <v>54</v>
      </c>
      <c r="C102" s="3">
        <f t="shared" si="1"/>
        <v>23</v>
      </c>
      <c r="D102" s="3">
        <f t="shared" si="1"/>
        <v>17</v>
      </c>
      <c r="E102" s="3">
        <f t="shared" si="1"/>
        <v>57</v>
      </c>
      <c r="F102" s="3">
        <f t="shared" si="1"/>
        <v>59</v>
      </c>
      <c r="G102" s="3">
        <f t="shared" si="1"/>
        <v>25</v>
      </c>
      <c r="H102" s="3">
        <f t="shared" si="1"/>
        <v>29</v>
      </c>
      <c r="I102" s="3">
        <f t="shared" si="1"/>
        <v>41</v>
      </c>
      <c r="J102" s="3">
        <f t="shared" si="1"/>
        <v>43</v>
      </c>
      <c r="K102" s="3">
        <f t="shared" si="1"/>
        <v>20</v>
      </c>
      <c r="L102" s="3">
        <f t="shared" si="1"/>
        <v>6</v>
      </c>
      <c r="M102" s="3">
        <f t="shared" si="1"/>
        <v>0</v>
      </c>
      <c r="N102" s="3">
        <f t="shared" si="1"/>
        <v>0</v>
      </c>
      <c r="O102" s="3">
        <f t="shared" si="1"/>
        <v>12</v>
      </c>
      <c r="P102" s="3">
        <f t="shared" si="1"/>
        <v>1</v>
      </c>
      <c r="Q102" s="3">
        <f t="shared" si="1"/>
        <v>15</v>
      </c>
      <c r="R102" s="2" t="s">
        <v>128</v>
      </c>
    </row>
    <row r="103" ht="12.75" customHeight="1">
      <c r="A103" s="2" t="s">
        <v>17</v>
      </c>
      <c r="B103" s="3">
        <f t="array" ref="B103">SUM(IF(B$2:B$99=$A103,1))</f>
        <v>10</v>
      </c>
      <c r="C103" s="3">
        <f t="array" ref="C103">SUM(IF(C$2:C$99=$A103,1))</f>
        <v>1</v>
      </c>
      <c r="D103" s="3">
        <f t="array" ref="D103">SUM(IF(D$2:D$99=$A103,1))</f>
        <v>1</v>
      </c>
      <c r="E103" s="3">
        <f t="array" ref="E103">SUM(IF(E$2:E$99=$A103,1))</f>
        <v>11</v>
      </c>
      <c r="F103" s="3">
        <f t="array" ref="F103">SUM(IF(F$2:F$99=$A103,1))</f>
        <v>8</v>
      </c>
      <c r="G103" s="3">
        <f t="array" ref="G103">SUM(IF(G$2:G$99=$A103,1))</f>
        <v>1</v>
      </c>
      <c r="H103" s="3">
        <f t="array" ref="H103">SUM(IF(H$2:H$99=$A103,1))</f>
        <v>2</v>
      </c>
      <c r="I103" s="3">
        <f t="array" ref="I103">SUM(IF(I$2:I$99=$A103,1))</f>
        <v>5</v>
      </c>
      <c r="J103" s="3">
        <f t="array" ref="J103">SUM(IF(J$2:J$99=$A103,1))</f>
        <v>7</v>
      </c>
      <c r="K103" s="3">
        <f t="array" ref="K103">SUM(IF(K$2:K$99=$A103,1))</f>
        <v>2</v>
      </c>
      <c r="L103" s="3">
        <f t="array" ref="L103">SUM(IF(L$2:L$99=$A103,1))</f>
        <v>1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  <c r="Q103" s="3">
        <f t="array" ref="Q103">SUM(IF(Q$2:Q$99=$A103,1))</f>
        <v>0</v>
      </c>
      <c r="R103" s="2" t="s">
        <v>17</v>
      </c>
    </row>
    <row r="104" ht="12.75" customHeight="1">
      <c r="A104" s="2" t="s">
        <v>15</v>
      </c>
      <c r="B104" s="3">
        <f t="array" ref="B104">SUM(IF(B$2:B$99=$A104,1))</f>
        <v>16</v>
      </c>
      <c r="C104" s="3">
        <f t="array" ref="C104">SUM(IF(C$2:C$99=$A104,1))</f>
        <v>2</v>
      </c>
      <c r="D104" s="3">
        <f t="array" ref="D104">SUM(IF(D$2:D$99=$A104,1))</f>
        <v>3</v>
      </c>
      <c r="E104" s="3">
        <f t="array" ref="E104">SUM(IF(E$2:E$99=$A104,1))</f>
        <v>15</v>
      </c>
      <c r="F104" s="3">
        <f t="array" ref="F104">SUM(IF(F$2:F$99=$A104,1))</f>
        <v>19</v>
      </c>
      <c r="G104" s="3">
        <f t="array" ref="G104">SUM(IF(G$2:G$99=$A104,1))</f>
        <v>6</v>
      </c>
      <c r="H104" s="3">
        <f t="array" ref="H104">SUM(IF(H$2:H$99=$A104,1))</f>
        <v>5</v>
      </c>
      <c r="I104" s="3">
        <f t="array" ref="I104">SUM(IF(I$2:I$99=$A104,1))</f>
        <v>7</v>
      </c>
      <c r="J104" s="3">
        <f t="array" ref="J104">SUM(IF(J$2:J$99=$A104,1))</f>
        <v>6</v>
      </c>
      <c r="K104" s="3">
        <f t="array" ref="K104">SUM(IF(K$2:K$99=$A104,1))</f>
        <v>5</v>
      </c>
      <c r="L104" s="3">
        <f t="array" ref="L104">SUM(IF(L$2:L$99=$A104,1))</f>
        <v>0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2</v>
      </c>
      <c r="P104" s="3">
        <f t="array" ref="P104">SUM(IF(P$2:P$99=$A104,1))</f>
        <v>0</v>
      </c>
      <c r="Q104" s="3">
        <f t="array" ref="Q104">SUM(IF(Q$2:Q$99=$A104,1))</f>
        <v>1</v>
      </c>
      <c r="R104" s="2" t="s">
        <v>15</v>
      </c>
    </row>
    <row r="105" ht="12.75" customHeight="1">
      <c r="A105" s="2" t="s">
        <v>16</v>
      </c>
      <c r="B105" s="3">
        <f t="array" ref="B105">SUM(IF(B$2:B$99=$A105,1))</f>
        <v>22</v>
      </c>
      <c r="C105" s="3">
        <f t="array" ref="C105">SUM(IF(C$2:C$99=$A105,1))</f>
        <v>3</v>
      </c>
      <c r="D105" s="3">
        <f t="array" ref="D105">SUM(IF(D$2:D$99=$A105,1))</f>
        <v>5</v>
      </c>
      <c r="E105" s="3">
        <f t="array" ref="E105">SUM(IF(E$2:E$99=$A105,1))</f>
        <v>15</v>
      </c>
      <c r="F105" s="3">
        <f t="array" ref="F105">SUM(IF(F$2:F$99=$A105,1))</f>
        <v>22</v>
      </c>
      <c r="G105" s="3">
        <f t="array" ref="G105">SUM(IF(G$2:G$99=$A105,1))</f>
        <v>2</v>
      </c>
      <c r="H105" s="3">
        <f t="array" ref="H105">SUM(IF(H$2:H$99=$A105,1))</f>
        <v>3</v>
      </c>
      <c r="I105" s="3">
        <f t="array" ref="I105">SUM(IF(I$2:I$99=$A105,1))</f>
        <v>8</v>
      </c>
      <c r="J105" s="3">
        <f t="array" ref="J105">SUM(IF(J$2:J$99=$A105,1))</f>
        <v>6</v>
      </c>
      <c r="K105" s="3">
        <f t="array" ref="K105">SUM(IF(K$2:K$99=$A105,1))</f>
        <v>5</v>
      </c>
      <c r="L105" s="3">
        <f t="array" ref="L105">SUM(IF(L$2:L$99=$A105,1))</f>
        <v>0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1</v>
      </c>
      <c r="P105" s="3">
        <f t="array" ref="P105">SUM(IF(P$2:P$99=$A105,1))</f>
        <v>0</v>
      </c>
      <c r="Q105" s="3">
        <f t="array" ref="Q105">SUM(IF(Q$2:Q$99=$A105,1))</f>
        <v>2</v>
      </c>
      <c r="R105" s="2" t="s">
        <v>16</v>
      </c>
    </row>
    <row r="106" ht="12.75" customHeight="1">
      <c r="A106" s="4" t="s">
        <v>129</v>
      </c>
      <c r="B106" s="4">
        <f t="shared" ref="B106:Q106" si="2">B103+B104*2+B105*3</f>
        <v>108</v>
      </c>
      <c r="C106" s="4">
        <f t="shared" si="2"/>
        <v>14</v>
      </c>
      <c r="D106" s="4">
        <f t="shared" si="2"/>
        <v>22</v>
      </c>
      <c r="E106" s="4">
        <f t="shared" si="2"/>
        <v>86</v>
      </c>
      <c r="F106" s="4">
        <f t="shared" si="2"/>
        <v>112</v>
      </c>
      <c r="G106" s="4">
        <f t="shared" si="2"/>
        <v>19</v>
      </c>
      <c r="H106" s="4">
        <f t="shared" si="2"/>
        <v>21</v>
      </c>
      <c r="I106" s="4">
        <f t="shared" si="2"/>
        <v>43</v>
      </c>
      <c r="J106" s="4">
        <f t="shared" si="2"/>
        <v>37</v>
      </c>
      <c r="K106" s="4">
        <f t="shared" si="2"/>
        <v>27</v>
      </c>
      <c r="L106" s="4">
        <f t="shared" si="2"/>
        <v>1</v>
      </c>
      <c r="M106" s="4">
        <f t="shared" si="2"/>
        <v>0</v>
      </c>
      <c r="N106" s="4">
        <f t="shared" si="2"/>
        <v>0</v>
      </c>
      <c r="O106" s="4">
        <f t="shared" si="2"/>
        <v>7</v>
      </c>
      <c r="P106" s="4">
        <f t="shared" si="2"/>
        <v>0</v>
      </c>
      <c r="Q106" s="4">
        <f t="shared" si="2"/>
        <v>8</v>
      </c>
      <c r="R106" s="4" t="s">
        <v>129</v>
      </c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2" t="s">
        <v>130</v>
      </c>
      <c r="B107" s="11">
        <f t="shared" ref="B107:Q107" si="3">IF(B100+B103+B104+B105&lt;&gt;0,B106/(B100+B103+B104+B105),0)</f>
        <v>2</v>
      </c>
      <c r="C107" s="11">
        <f t="shared" si="3"/>
        <v>0.6086956522</v>
      </c>
      <c r="D107" s="11">
        <f t="shared" si="3"/>
        <v>1.294117647</v>
      </c>
      <c r="E107" s="11">
        <f t="shared" si="3"/>
        <v>1.50877193</v>
      </c>
      <c r="F107" s="11">
        <f t="shared" si="3"/>
        <v>1.898305085</v>
      </c>
      <c r="G107" s="11">
        <f t="shared" si="3"/>
        <v>0.76</v>
      </c>
      <c r="H107" s="11">
        <f t="shared" si="3"/>
        <v>0.724137931</v>
      </c>
      <c r="I107" s="11">
        <f t="shared" si="3"/>
        <v>1.048780488</v>
      </c>
      <c r="J107" s="11">
        <f t="shared" si="3"/>
        <v>0.8604651163</v>
      </c>
      <c r="K107" s="11">
        <f t="shared" si="3"/>
        <v>1.35</v>
      </c>
      <c r="L107" s="11">
        <f t="shared" si="3"/>
        <v>0.1666666667</v>
      </c>
      <c r="M107" s="11">
        <f t="shared" si="3"/>
        <v>0</v>
      </c>
      <c r="N107" s="11">
        <f t="shared" si="3"/>
        <v>0</v>
      </c>
      <c r="O107" s="11">
        <f t="shared" si="3"/>
        <v>0.5833333333</v>
      </c>
      <c r="P107" s="11">
        <f t="shared" si="3"/>
        <v>0</v>
      </c>
      <c r="Q107" s="11">
        <f t="shared" si="3"/>
        <v>0.5333333333</v>
      </c>
      <c r="R107" s="2" t="s">
        <v>130</v>
      </c>
    </row>
    <row r="108" ht="12.75" customHeight="1">
      <c r="A108" s="2" t="s">
        <v>363</v>
      </c>
      <c r="B108" s="2">
        <f t="shared" ref="B108:Q108" si="4">B105+B104+B103</f>
        <v>48</v>
      </c>
      <c r="C108" s="2">
        <f t="shared" si="4"/>
        <v>6</v>
      </c>
      <c r="D108" s="2">
        <f t="shared" si="4"/>
        <v>9</v>
      </c>
      <c r="E108" s="2">
        <f t="shared" si="4"/>
        <v>41</v>
      </c>
      <c r="F108" s="2">
        <f t="shared" si="4"/>
        <v>49</v>
      </c>
      <c r="G108" s="2">
        <f t="shared" si="4"/>
        <v>9</v>
      </c>
      <c r="H108" s="2">
        <f t="shared" si="4"/>
        <v>10</v>
      </c>
      <c r="I108" s="2">
        <f t="shared" si="4"/>
        <v>20</v>
      </c>
      <c r="J108" s="2">
        <f t="shared" si="4"/>
        <v>19</v>
      </c>
      <c r="K108" s="2">
        <f t="shared" si="4"/>
        <v>12</v>
      </c>
      <c r="L108" s="2">
        <f t="shared" si="4"/>
        <v>1</v>
      </c>
      <c r="M108" s="2">
        <f t="shared" si="4"/>
        <v>0</v>
      </c>
      <c r="N108" s="2">
        <f t="shared" si="4"/>
        <v>0</v>
      </c>
      <c r="O108" s="2">
        <f t="shared" si="4"/>
        <v>3</v>
      </c>
      <c r="P108" s="2">
        <f t="shared" si="4"/>
        <v>0</v>
      </c>
      <c r="Q108" s="2">
        <f t="shared" si="4"/>
        <v>3</v>
      </c>
      <c r="R108" s="2" t="s">
        <v>363</v>
      </c>
    </row>
    <row r="109" ht="12.75" customHeight="1">
      <c r="A109" s="2" t="s">
        <v>131</v>
      </c>
      <c r="B109" s="3">
        <f t="shared" ref="B109:Q109" si="5">B102+B101</f>
        <v>61</v>
      </c>
      <c r="C109" s="3">
        <f t="shared" si="5"/>
        <v>61</v>
      </c>
      <c r="D109" s="3">
        <f t="shared" si="5"/>
        <v>61</v>
      </c>
      <c r="E109" s="3">
        <f t="shared" si="5"/>
        <v>61</v>
      </c>
      <c r="F109" s="3">
        <f t="shared" si="5"/>
        <v>61</v>
      </c>
      <c r="G109" s="3">
        <f t="shared" si="5"/>
        <v>61</v>
      </c>
      <c r="H109" s="3">
        <f t="shared" si="5"/>
        <v>61</v>
      </c>
      <c r="I109" s="3">
        <f t="shared" si="5"/>
        <v>61</v>
      </c>
      <c r="J109" s="3">
        <f t="shared" si="5"/>
        <v>61</v>
      </c>
      <c r="K109" s="3">
        <f t="shared" si="5"/>
        <v>61</v>
      </c>
      <c r="L109" s="3">
        <f t="shared" si="5"/>
        <v>61</v>
      </c>
      <c r="M109" s="3">
        <f t="shared" si="5"/>
        <v>61</v>
      </c>
      <c r="N109" s="3">
        <f t="shared" si="5"/>
        <v>61</v>
      </c>
      <c r="O109" s="3">
        <f t="shared" si="5"/>
        <v>61</v>
      </c>
      <c r="P109" s="3">
        <f t="shared" si="5"/>
        <v>61</v>
      </c>
      <c r="Q109" s="3">
        <f t="shared" si="5"/>
        <v>61</v>
      </c>
      <c r="R109" s="2" t="s">
        <v>131</v>
      </c>
    </row>
    <row r="110" ht="12.75" customHeight="1"/>
    <row r="111" ht="12.75" customHeight="1">
      <c r="A111" s="2" t="s">
        <v>132</v>
      </c>
      <c r="B111" s="3">
        <f>B106+G106+J106+I106</f>
        <v>207</v>
      </c>
      <c r="D111" s="2" t="s">
        <v>133</v>
      </c>
      <c r="E111" s="12">
        <f>B106+G106</f>
        <v>127</v>
      </c>
      <c r="G111" s="2" t="s">
        <v>134</v>
      </c>
      <c r="H111" s="3">
        <f>I106+J106</f>
        <v>80</v>
      </c>
      <c r="J111" s="2" t="s">
        <v>135</v>
      </c>
      <c r="K111" s="3">
        <f>B102+G102+I102+J102</f>
        <v>163</v>
      </c>
      <c r="M111" s="2" t="s">
        <v>136</v>
      </c>
      <c r="N111" s="11">
        <f t="shared" ref="N111:N113" si="6">B111/K111</f>
        <v>1.26993865</v>
      </c>
      <c r="R111" s="2" t="s">
        <v>132</v>
      </c>
    </row>
    <row r="112" ht="12.75" customHeight="1">
      <c r="A112" s="2" t="s">
        <v>137</v>
      </c>
      <c r="B112" s="3">
        <f>C106+E106+H106+L106+M106</f>
        <v>122</v>
      </c>
      <c r="D112" s="2" t="s">
        <v>138</v>
      </c>
      <c r="E112" s="3">
        <f>M106+L106</f>
        <v>1</v>
      </c>
      <c r="G112" s="2" t="s">
        <v>139</v>
      </c>
      <c r="H112" s="3">
        <f>C106+E106+H106</f>
        <v>121</v>
      </c>
      <c r="J112" s="2" t="s">
        <v>135</v>
      </c>
      <c r="K112" s="3">
        <f>C102+E102+H102+L102+M102</f>
        <v>115</v>
      </c>
      <c r="M112" s="2" t="s">
        <v>136</v>
      </c>
      <c r="N112" s="11">
        <f t="shared" si="6"/>
        <v>1.060869565</v>
      </c>
      <c r="R112" s="2" t="s">
        <v>137</v>
      </c>
    </row>
    <row r="113" ht="12.75" customHeight="1">
      <c r="A113" s="2" t="s">
        <v>140</v>
      </c>
      <c r="B113" s="3">
        <f>D106+F106+K106+N106</f>
        <v>161</v>
      </c>
      <c r="D113" s="2" t="s">
        <v>141</v>
      </c>
      <c r="E113" s="3">
        <f>K106+N106</f>
        <v>27</v>
      </c>
      <c r="G113" s="2" t="s">
        <v>142</v>
      </c>
      <c r="H113" s="3">
        <f>D106+F106</f>
        <v>134</v>
      </c>
      <c r="J113" s="2" t="s">
        <v>135</v>
      </c>
      <c r="K113" s="3">
        <f>D102+F102+K102+N102</f>
        <v>96</v>
      </c>
      <c r="M113" s="2" t="s">
        <v>136</v>
      </c>
      <c r="N113" s="11">
        <f t="shared" si="6"/>
        <v>1.677083333</v>
      </c>
      <c r="R113" s="2" t="s">
        <v>140</v>
      </c>
    </row>
    <row r="114" ht="12.75" customHeight="1">
      <c r="B114" s="3"/>
      <c r="E114" s="3"/>
      <c r="H114" s="3"/>
      <c r="K114" s="3"/>
      <c r="N114" s="11"/>
    </row>
    <row r="115" ht="12.75" customHeight="1">
      <c r="A115" s="20"/>
      <c r="B115" s="3" t="s">
        <v>0</v>
      </c>
      <c r="C115" s="3" t="s">
        <v>1</v>
      </c>
      <c r="D115" s="16" t="s">
        <v>2</v>
      </c>
      <c r="E115" s="3" t="s">
        <v>3</v>
      </c>
      <c r="F115" s="16" t="s">
        <v>4</v>
      </c>
      <c r="G115" s="16" t="s">
        <v>5</v>
      </c>
      <c r="H115" s="16" t="s">
        <v>6</v>
      </c>
      <c r="I115" s="16" t="s">
        <v>7</v>
      </c>
      <c r="J115" s="16" t="s">
        <v>8</v>
      </c>
      <c r="K115" s="16" t="s">
        <v>9</v>
      </c>
      <c r="L115" s="16" t="s">
        <v>10</v>
      </c>
      <c r="M115" s="3" t="s">
        <v>11</v>
      </c>
      <c r="N115" s="3" t="s">
        <v>12</v>
      </c>
      <c r="O115" s="16" t="s">
        <v>150</v>
      </c>
      <c r="P115" s="16" t="s">
        <v>151</v>
      </c>
      <c r="Q115" s="2" t="s">
        <v>345</v>
      </c>
      <c r="R115" s="20"/>
    </row>
    <row r="116" ht="12.75" customHeight="1"/>
    <row r="117" ht="12.75" customHeight="1">
      <c r="A117" s="21" t="s">
        <v>143</v>
      </c>
      <c r="B117" s="21">
        <f>H111+H112+H113</f>
        <v>335</v>
      </c>
      <c r="E117" s="21" t="s">
        <v>144</v>
      </c>
      <c r="F117" s="22">
        <f>E111+E112+E113</f>
        <v>155</v>
      </c>
    </row>
    <row r="118" ht="12.75" customHeight="1"/>
    <row r="119" ht="12.75" customHeight="1">
      <c r="A119" s="5" t="s">
        <v>145</v>
      </c>
      <c r="B119" s="5" t="s">
        <v>4</v>
      </c>
      <c r="Q119" s="2" t="str">
        <f>B119</f>
        <v>Sergio</v>
      </c>
      <c r="R119" s="5" t="s">
        <v>145</v>
      </c>
    </row>
    <row r="120" ht="12.75" customHeight="1"/>
    <row r="121" ht="12.75" customHeight="1">
      <c r="A121" s="2" t="s">
        <v>69</v>
      </c>
      <c r="O121" s="2" t="s">
        <v>310</v>
      </c>
      <c r="R121" s="2" t="s">
        <v>69</v>
      </c>
    </row>
    <row r="122" ht="12.75" customHeight="1">
      <c r="A122" s="2" t="s">
        <v>311</v>
      </c>
      <c r="B122" s="3">
        <f>B106+'2015'!B115</f>
        <v>600.75</v>
      </c>
      <c r="C122" s="3">
        <f>C106+'2015'!C115</f>
        <v>383.5</v>
      </c>
      <c r="D122" s="3">
        <f>D106+'2015'!D115</f>
        <v>338</v>
      </c>
      <c r="E122" s="3">
        <f>E106+'2015'!E115</f>
        <v>450.25</v>
      </c>
      <c r="F122" s="3">
        <f>F106+'2015'!F115</f>
        <v>567.25</v>
      </c>
      <c r="G122" s="3">
        <f>G106+'2015'!G115</f>
        <v>201</v>
      </c>
      <c r="H122" s="3">
        <f>H106+'2015'!H115</f>
        <v>192.25</v>
      </c>
      <c r="I122" s="3">
        <f>I106+'2015'!I115</f>
        <v>242.5</v>
      </c>
      <c r="J122" s="3">
        <f>J106+'2015'!J115</f>
        <v>215</v>
      </c>
      <c r="K122" s="3">
        <f>K106+'2015'!K115</f>
        <v>138</v>
      </c>
      <c r="L122" s="3">
        <f>L106+'2015'!L115</f>
        <v>28</v>
      </c>
      <c r="M122" s="3">
        <f>M106+'2015'!M115</f>
        <v>34</v>
      </c>
      <c r="N122" s="3">
        <f>N106+'2015'!N115</f>
        <v>12</v>
      </c>
      <c r="O122" s="3">
        <f>'2015'!O115+O106+P106</f>
        <v>33.25</v>
      </c>
      <c r="P122" s="2" t="s">
        <v>364</v>
      </c>
      <c r="Q122" s="2">
        <f>Q106</f>
        <v>8</v>
      </c>
      <c r="R122" s="2" t="s">
        <v>311</v>
      </c>
    </row>
    <row r="123" ht="12.75" customHeight="1"/>
    <row r="124" ht="12.75" customHeight="1">
      <c r="A124" s="16" t="s">
        <v>85</v>
      </c>
      <c r="B124" s="16">
        <f>'2015'!B119</f>
        <v>3</v>
      </c>
      <c r="C124" s="16">
        <f>'2015'!C119</f>
        <v>2</v>
      </c>
      <c r="D124" s="16">
        <f>'2015'!D119</f>
        <v>0</v>
      </c>
      <c r="E124" s="16">
        <f>'2015'!E119</f>
        <v>1</v>
      </c>
      <c r="F124" s="16">
        <f>'2015'!F119+1</f>
        <v>3</v>
      </c>
      <c r="G124" s="16">
        <f>'2015'!G119</f>
        <v>0</v>
      </c>
      <c r="H124" s="16">
        <f>'2015'!H119</f>
        <v>0</v>
      </c>
      <c r="I124" s="16">
        <f>'2015'!I119</f>
        <v>0</v>
      </c>
      <c r="J124" s="16">
        <f>'2015'!J119</f>
        <v>0</v>
      </c>
      <c r="K124" s="16">
        <f>'2015'!K119</f>
        <v>0</v>
      </c>
      <c r="L124" s="16">
        <f>'2015'!L119</f>
        <v>0</v>
      </c>
      <c r="M124" s="16">
        <f>'2015'!M119</f>
        <v>0</v>
      </c>
      <c r="N124" s="16">
        <f>'2015'!N119</f>
        <v>0</v>
      </c>
      <c r="O124" s="16">
        <f>'2015'!O119</f>
        <v>0</v>
      </c>
      <c r="P124" s="16" t="s">
        <v>364</v>
      </c>
      <c r="Q124" s="3">
        <v>0.0</v>
      </c>
      <c r="R124" s="16" t="s">
        <v>85</v>
      </c>
      <c r="S124" s="3"/>
      <c r="T124" s="3"/>
      <c r="U124" s="3"/>
      <c r="V124" s="3"/>
      <c r="W124" s="3"/>
      <c r="X124" s="3"/>
      <c r="Y124" s="3"/>
      <c r="Z124" s="3"/>
    </row>
    <row r="125" ht="12.75" customHeight="1"/>
    <row r="126" ht="12.75" customHeight="1">
      <c r="A126" s="3" t="s">
        <v>365</v>
      </c>
      <c r="C126" s="3">
        <f>'2015'!B117+B109</f>
        <v>428</v>
      </c>
    </row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62"/>
  <conditionalFormatting sqref="B100:Q107">
    <cfRule type="cellIs" dxfId="0" priority="1" stopIfTrue="1" operator="equal">
      <formula>"PLATA"</formula>
    </cfRule>
  </conditionalFormatting>
  <conditionalFormatting sqref="B100:Q107">
    <cfRule type="cellIs" dxfId="1" priority="2" stopIfTrue="1" operator="equal">
      <formula>"ORO"</formula>
    </cfRule>
  </conditionalFormatting>
  <conditionalFormatting sqref="B100:Q107">
    <cfRule type="cellIs" dxfId="2" priority="3" stopIfTrue="1" operator="equal">
      <formula>"BRONCE"</formula>
    </cfRule>
  </conditionalFormatting>
  <conditionalFormatting sqref="N111:N114">
    <cfRule type="cellIs" dxfId="0" priority="4" stopIfTrue="1" operator="equal">
      <formula>"PLATA"</formula>
    </cfRule>
  </conditionalFormatting>
  <conditionalFormatting sqref="N111:N114">
    <cfRule type="cellIs" dxfId="1" priority="5" stopIfTrue="1" operator="equal">
      <formula>"ORO"</formula>
    </cfRule>
  </conditionalFormatting>
  <conditionalFormatting sqref="N111:N114">
    <cfRule type="cellIs" dxfId="2" priority="6" stopIfTrue="1" operator="equal">
      <formula>"BRONCE"</formula>
    </cfRule>
  </conditionalFormatting>
  <printOptions/>
  <pageMargins bottom="1.0527777777777778" footer="0.0" header="0.0" left="0.7875" right="0.7875" top="1.0527777777777778"/>
  <pageSetup paperSize="9" orientation="portrait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6" width="10.75"/>
  </cols>
  <sheetData>
    <row r="1" ht="12.75" customHeight="1">
      <c r="A1" s="23">
        <v>2017.0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150</v>
      </c>
      <c r="P1" s="16" t="s">
        <v>151</v>
      </c>
      <c r="Q1" s="2" t="s">
        <v>345</v>
      </c>
    </row>
    <row r="2" ht="12.75" customHeight="1">
      <c r="A2" s="2" t="s">
        <v>92</v>
      </c>
      <c r="B2" s="2" t="s">
        <v>90</v>
      </c>
      <c r="C2" s="2" t="s">
        <v>90</v>
      </c>
      <c r="D2" s="2" t="s">
        <v>90</v>
      </c>
      <c r="E2" s="2" t="s">
        <v>16</v>
      </c>
      <c r="F2" s="2" t="s">
        <v>16</v>
      </c>
      <c r="G2" s="2" t="s">
        <v>90</v>
      </c>
      <c r="H2" s="2" t="s">
        <v>15</v>
      </c>
      <c r="I2" s="2" t="s">
        <v>15</v>
      </c>
      <c r="J2" s="2" t="s">
        <v>90</v>
      </c>
      <c r="K2" s="2" t="s">
        <v>90</v>
      </c>
      <c r="L2" s="2" t="s">
        <v>90</v>
      </c>
      <c r="M2" s="2" t="s">
        <v>90</v>
      </c>
      <c r="N2" s="2" t="s">
        <v>90</v>
      </c>
      <c r="O2" s="2" t="s">
        <v>90</v>
      </c>
      <c r="P2" s="2" t="s">
        <v>90</v>
      </c>
      <c r="Q2" s="2" t="s">
        <v>90</v>
      </c>
    </row>
    <row r="3" ht="12.75" customHeight="1">
      <c r="A3" s="2" t="s">
        <v>92</v>
      </c>
      <c r="B3" s="2" t="s">
        <v>90</v>
      </c>
      <c r="C3" s="2" t="s">
        <v>90</v>
      </c>
      <c r="D3" s="2" t="s">
        <v>90</v>
      </c>
      <c r="E3" s="2" t="s">
        <v>16</v>
      </c>
      <c r="F3" s="2" t="s">
        <v>16</v>
      </c>
      <c r="G3" s="2" t="s">
        <v>90</v>
      </c>
      <c r="H3" s="2" t="s">
        <v>15</v>
      </c>
      <c r="I3" s="2" t="s">
        <v>15</v>
      </c>
      <c r="J3" s="2" t="s">
        <v>90</v>
      </c>
      <c r="K3" s="2" t="s">
        <v>90</v>
      </c>
      <c r="L3" s="2" t="s">
        <v>90</v>
      </c>
      <c r="M3" s="2" t="s">
        <v>90</v>
      </c>
      <c r="N3" s="2" t="s">
        <v>90</v>
      </c>
      <c r="O3" s="2" t="s">
        <v>90</v>
      </c>
      <c r="P3" s="2" t="s">
        <v>90</v>
      </c>
      <c r="Q3" s="2" t="s">
        <v>90</v>
      </c>
    </row>
    <row r="4" ht="12.75" customHeight="1">
      <c r="A4" s="2" t="s">
        <v>92</v>
      </c>
      <c r="B4" s="2" t="s">
        <v>90</v>
      </c>
      <c r="C4" s="2" t="s">
        <v>90</v>
      </c>
      <c r="D4" s="2" t="s">
        <v>90</v>
      </c>
      <c r="E4" s="2" t="s">
        <v>16</v>
      </c>
      <c r="F4" s="2" t="s">
        <v>15</v>
      </c>
      <c r="G4" s="2" t="s">
        <v>90</v>
      </c>
      <c r="H4" s="2" t="s">
        <v>17</v>
      </c>
      <c r="I4" s="2" t="s">
        <v>90</v>
      </c>
      <c r="J4" s="2" t="s">
        <v>90</v>
      </c>
      <c r="K4" s="2" t="s">
        <v>90</v>
      </c>
      <c r="L4" s="2" t="s">
        <v>90</v>
      </c>
      <c r="M4" s="2" t="s">
        <v>90</v>
      </c>
      <c r="N4" s="2" t="s">
        <v>90</v>
      </c>
      <c r="O4" s="2" t="s">
        <v>90</v>
      </c>
      <c r="P4" s="2" t="s">
        <v>90</v>
      </c>
      <c r="Q4" s="2" t="s">
        <v>90</v>
      </c>
    </row>
    <row r="5" ht="12.75" customHeight="1">
      <c r="A5" s="2" t="s">
        <v>366</v>
      </c>
      <c r="B5" s="2" t="s">
        <v>89</v>
      </c>
      <c r="C5" s="2" t="s">
        <v>90</v>
      </c>
      <c r="D5" s="2" t="s">
        <v>90</v>
      </c>
      <c r="E5" s="2" t="s">
        <v>15</v>
      </c>
      <c r="F5" s="2" t="s">
        <v>16</v>
      </c>
      <c r="G5" s="2" t="s">
        <v>90</v>
      </c>
      <c r="H5" s="2" t="s">
        <v>89</v>
      </c>
      <c r="I5" s="2" t="s">
        <v>17</v>
      </c>
      <c r="J5" s="2" t="s">
        <v>89</v>
      </c>
      <c r="K5" s="2" t="s">
        <v>16</v>
      </c>
      <c r="L5" s="2" t="s">
        <v>90</v>
      </c>
      <c r="M5" s="2" t="s">
        <v>90</v>
      </c>
      <c r="N5" s="2" t="s">
        <v>90</v>
      </c>
      <c r="O5" s="2" t="s">
        <v>90</v>
      </c>
      <c r="P5" s="2" t="s">
        <v>90</v>
      </c>
      <c r="Q5" s="2" t="s">
        <v>90</v>
      </c>
    </row>
    <row r="6" ht="12.75" customHeight="1">
      <c r="A6" s="2" t="s">
        <v>23</v>
      </c>
      <c r="B6" s="2" t="s">
        <v>89</v>
      </c>
      <c r="C6" s="2" t="s">
        <v>90</v>
      </c>
      <c r="D6" s="2" t="s">
        <v>90</v>
      </c>
      <c r="E6" s="2" t="s">
        <v>17</v>
      </c>
      <c r="F6" s="2" t="s">
        <v>16</v>
      </c>
      <c r="G6" s="2" t="s">
        <v>89</v>
      </c>
      <c r="H6" s="2" t="s">
        <v>89</v>
      </c>
      <c r="I6" s="2" t="s">
        <v>89</v>
      </c>
      <c r="J6" s="2" t="s">
        <v>89</v>
      </c>
      <c r="K6" s="2" t="s">
        <v>15</v>
      </c>
      <c r="L6" s="2" t="s">
        <v>90</v>
      </c>
      <c r="M6" s="2" t="s">
        <v>90</v>
      </c>
      <c r="N6" s="2" t="s">
        <v>90</v>
      </c>
      <c r="O6" s="2" t="s">
        <v>90</v>
      </c>
      <c r="P6" s="2" t="s">
        <v>90</v>
      </c>
      <c r="Q6" s="2" t="s">
        <v>90</v>
      </c>
    </row>
    <row r="7" ht="12.75" customHeight="1">
      <c r="A7" s="2" t="s">
        <v>367</v>
      </c>
      <c r="B7" s="2" t="s">
        <v>15</v>
      </c>
      <c r="C7" s="2" t="s">
        <v>90</v>
      </c>
      <c r="D7" s="2" t="s">
        <v>90</v>
      </c>
      <c r="E7" s="2" t="s">
        <v>16</v>
      </c>
      <c r="F7" s="2" t="s">
        <v>16</v>
      </c>
      <c r="G7" s="2" t="s">
        <v>17</v>
      </c>
      <c r="H7" s="2" t="s">
        <v>17</v>
      </c>
      <c r="I7" s="2" t="s">
        <v>17</v>
      </c>
      <c r="J7" s="2" t="s">
        <v>15</v>
      </c>
      <c r="K7" s="2" t="s">
        <v>17</v>
      </c>
      <c r="L7" s="2" t="s">
        <v>90</v>
      </c>
      <c r="M7" s="2" t="s">
        <v>90</v>
      </c>
      <c r="N7" s="2" t="s">
        <v>90</v>
      </c>
      <c r="O7" s="2" t="s">
        <v>90</v>
      </c>
      <c r="P7" s="2" t="s">
        <v>90</v>
      </c>
      <c r="Q7" s="2" t="s">
        <v>90</v>
      </c>
    </row>
    <row r="8" ht="12.75" customHeight="1">
      <c r="A8" s="2" t="s">
        <v>29</v>
      </c>
      <c r="B8" s="2" t="s">
        <v>16</v>
      </c>
      <c r="C8" s="2" t="s">
        <v>90</v>
      </c>
      <c r="D8" s="2" t="s">
        <v>90</v>
      </c>
      <c r="E8" s="2" t="s">
        <v>15</v>
      </c>
      <c r="F8" s="2" t="s">
        <v>16</v>
      </c>
      <c r="G8" s="2" t="s">
        <v>90</v>
      </c>
      <c r="H8" s="2" t="s">
        <v>90</v>
      </c>
      <c r="I8" s="2" t="s">
        <v>15</v>
      </c>
      <c r="J8" s="2" t="s">
        <v>16</v>
      </c>
      <c r="K8" s="2" t="s">
        <v>15</v>
      </c>
      <c r="L8" s="2" t="s">
        <v>90</v>
      </c>
      <c r="M8" s="2" t="s">
        <v>90</v>
      </c>
      <c r="N8" s="2" t="s">
        <v>90</v>
      </c>
      <c r="O8" s="2" t="s">
        <v>90</v>
      </c>
      <c r="P8" s="2" t="s">
        <v>90</v>
      </c>
      <c r="Q8" s="2" t="s">
        <v>90</v>
      </c>
    </row>
    <row r="9" ht="12.75" customHeight="1">
      <c r="A9" s="2">
        <v>-1.0</v>
      </c>
      <c r="B9" s="2" t="s">
        <v>15</v>
      </c>
      <c r="C9" s="2" t="s">
        <v>90</v>
      </c>
      <c r="D9" s="2" t="s">
        <v>90</v>
      </c>
      <c r="E9" s="2" t="s">
        <v>17</v>
      </c>
      <c r="F9" s="2" t="s">
        <v>17</v>
      </c>
      <c r="G9" s="2" t="s">
        <v>90</v>
      </c>
      <c r="H9" s="2" t="s">
        <v>89</v>
      </c>
      <c r="I9" s="2" t="s">
        <v>16</v>
      </c>
      <c r="J9" s="2" t="s">
        <v>90</v>
      </c>
      <c r="K9" s="2" t="s">
        <v>89</v>
      </c>
      <c r="L9" s="2" t="s">
        <v>90</v>
      </c>
      <c r="M9" s="2" t="s">
        <v>90</v>
      </c>
      <c r="N9" s="2" t="s">
        <v>90</v>
      </c>
      <c r="O9" s="2" t="s">
        <v>90</v>
      </c>
      <c r="P9" s="2" t="s">
        <v>90</v>
      </c>
      <c r="Q9" s="2" t="s">
        <v>90</v>
      </c>
    </row>
    <row r="10" ht="12.75" customHeight="1">
      <c r="A10" s="2" t="s">
        <v>266</v>
      </c>
      <c r="B10" s="2" t="s">
        <v>89</v>
      </c>
      <c r="C10" s="2" t="s">
        <v>90</v>
      </c>
      <c r="D10" s="2" t="s">
        <v>90</v>
      </c>
      <c r="E10" s="2" t="s">
        <v>89</v>
      </c>
      <c r="F10" s="2" t="s">
        <v>89</v>
      </c>
      <c r="G10" s="2" t="s">
        <v>90</v>
      </c>
      <c r="H10" s="2" t="s">
        <v>89</v>
      </c>
      <c r="I10" s="2" t="s">
        <v>89</v>
      </c>
      <c r="J10" s="2" t="s">
        <v>16</v>
      </c>
      <c r="K10" s="2" t="s">
        <v>16</v>
      </c>
      <c r="L10" s="2" t="s">
        <v>90</v>
      </c>
      <c r="M10" s="2" t="s">
        <v>90</v>
      </c>
      <c r="N10" s="2" t="s">
        <v>90</v>
      </c>
      <c r="O10" s="2" t="s">
        <v>89</v>
      </c>
      <c r="P10" s="2" t="s">
        <v>90</v>
      </c>
      <c r="Q10" s="2" t="s">
        <v>90</v>
      </c>
    </row>
    <row r="11" ht="12.75" customHeight="1">
      <c r="A11" s="2" t="s">
        <v>113</v>
      </c>
      <c r="B11" s="2" t="s">
        <v>16</v>
      </c>
      <c r="C11" s="2" t="s">
        <v>90</v>
      </c>
      <c r="D11" s="2" t="s">
        <v>90</v>
      </c>
      <c r="E11" s="2" t="s">
        <v>90</v>
      </c>
      <c r="F11" s="2" t="s">
        <v>15</v>
      </c>
      <c r="G11" s="2" t="s">
        <v>90</v>
      </c>
      <c r="H11" s="2" t="s">
        <v>90</v>
      </c>
      <c r="I11" s="2" t="s">
        <v>89</v>
      </c>
      <c r="J11" s="2" t="s">
        <v>89</v>
      </c>
      <c r="K11" s="2" t="s">
        <v>17</v>
      </c>
      <c r="L11" s="2" t="s">
        <v>90</v>
      </c>
      <c r="M11" s="2" t="s">
        <v>90</v>
      </c>
      <c r="N11" s="2" t="s">
        <v>90</v>
      </c>
      <c r="O11" s="2" t="s">
        <v>90</v>
      </c>
      <c r="P11" s="2" t="s">
        <v>90</v>
      </c>
      <c r="Q11" s="2" t="s">
        <v>90</v>
      </c>
    </row>
    <row r="12" ht="12.75" customHeight="1">
      <c r="A12" s="2" t="s">
        <v>368</v>
      </c>
      <c r="B12" s="2" t="s">
        <v>89</v>
      </c>
      <c r="C12" s="2" t="s">
        <v>90</v>
      </c>
      <c r="D12" s="2" t="s">
        <v>90</v>
      </c>
      <c r="E12" s="2" t="s">
        <v>89</v>
      </c>
      <c r="F12" s="2" t="s">
        <v>16</v>
      </c>
      <c r="G12" s="2" t="s">
        <v>89</v>
      </c>
      <c r="H12" s="2" t="s">
        <v>16</v>
      </c>
      <c r="I12" s="2" t="s">
        <v>89</v>
      </c>
      <c r="J12" s="2" t="s">
        <v>16</v>
      </c>
      <c r="K12" s="2" t="s">
        <v>89</v>
      </c>
      <c r="L12" s="2" t="s">
        <v>89</v>
      </c>
      <c r="M12" s="2" t="s">
        <v>90</v>
      </c>
      <c r="N12" s="2" t="s">
        <v>90</v>
      </c>
      <c r="O12" s="2" t="s">
        <v>90</v>
      </c>
      <c r="P12" s="2" t="s">
        <v>90</v>
      </c>
      <c r="Q12" s="2" t="s">
        <v>90</v>
      </c>
    </row>
    <row r="13" ht="12.75" customHeight="1">
      <c r="A13" s="2" t="s">
        <v>369</v>
      </c>
      <c r="B13" s="2" t="s">
        <v>90</v>
      </c>
      <c r="C13" s="2" t="s">
        <v>90</v>
      </c>
      <c r="D13" s="2" t="s">
        <v>90</v>
      </c>
      <c r="E13" s="2" t="s">
        <v>90</v>
      </c>
      <c r="F13" s="2" t="s">
        <v>90</v>
      </c>
      <c r="G13" s="2" t="s">
        <v>90</v>
      </c>
      <c r="H13" s="2" t="s">
        <v>89</v>
      </c>
      <c r="I13" s="2" t="s">
        <v>15</v>
      </c>
      <c r="J13" s="2" t="s">
        <v>16</v>
      </c>
      <c r="K13" s="2" t="s">
        <v>90</v>
      </c>
      <c r="L13" s="2" t="s">
        <v>90</v>
      </c>
      <c r="M13" s="2" t="s">
        <v>90</v>
      </c>
      <c r="N13" s="2" t="s">
        <v>90</v>
      </c>
      <c r="O13" s="2" t="s">
        <v>90</v>
      </c>
      <c r="P13" s="2" t="s">
        <v>90</v>
      </c>
      <c r="Q13" s="2" t="s">
        <v>90</v>
      </c>
    </row>
    <row r="14" ht="12.75" customHeight="1">
      <c r="A14" s="2" t="s">
        <v>370</v>
      </c>
      <c r="B14" s="2" t="s">
        <v>16</v>
      </c>
      <c r="C14" s="2" t="s">
        <v>90</v>
      </c>
      <c r="D14" s="2" t="s">
        <v>90</v>
      </c>
      <c r="E14" s="2" t="s">
        <v>89</v>
      </c>
      <c r="F14" s="2" t="s">
        <v>17</v>
      </c>
      <c r="G14" s="2" t="s">
        <v>90</v>
      </c>
      <c r="H14" s="2" t="s">
        <v>15</v>
      </c>
      <c r="I14" s="2" t="s">
        <v>16</v>
      </c>
      <c r="J14" s="2" t="s">
        <v>90</v>
      </c>
      <c r="K14" s="2" t="s">
        <v>89</v>
      </c>
      <c r="L14" s="2" t="s">
        <v>15</v>
      </c>
      <c r="M14" s="2" t="s">
        <v>90</v>
      </c>
      <c r="N14" s="2" t="s">
        <v>90</v>
      </c>
      <c r="O14" s="2" t="s">
        <v>90</v>
      </c>
      <c r="P14" s="2" t="s">
        <v>90</v>
      </c>
      <c r="Q14" s="2" t="s">
        <v>90</v>
      </c>
    </row>
    <row r="15" ht="12.75" customHeight="1">
      <c r="A15" s="2" t="s">
        <v>27</v>
      </c>
      <c r="B15" s="2" t="s">
        <v>16</v>
      </c>
      <c r="C15" s="2" t="s">
        <v>90</v>
      </c>
      <c r="D15" s="2" t="s">
        <v>90</v>
      </c>
      <c r="E15" s="2" t="s">
        <v>15</v>
      </c>
      <c r="F15" s="2" t="s">
        <v>16</v>
      </c>
      <c r="G15" s="2" t="s">
        <v>90</v>
      </c>
      <c r="H15" s="2" t="s">
        <v>89</v>
      </c>
      <c r="I15" s="2" t="s">
        <v>89</v>
      </c>
      <c r="J15" s="2" t="s">
        <v>16</v>
      </c>
      <c r="K15" s="2" t="s">
        <v>90</v>
      </c>
      <c r="L15" s="2" t="s">
        <v>15</v>
      </c>
      <c r="M15" s="2" t="s">
        <v>90</v>
      </c>
      <c r="N15" s="2" t="s">
        <v>90</v>
      </c>
      <c r="O15" s="2" t="s">
        <v>16</v>
      </c>
      <c r="P15" s="2" t="s">
        <v>90</v>
      </c>
      <c r="Q15" s="2" t="s">
        <v>90</v>
      </c>
    </row>
    <row r="16" ht="12.75" customHeight="1">
      <c r="A16" s="2" t="s">
        <v>31</v>
      </c>
      <c r="B16" s="2" t="s">
        <v>15</v>
      </c>
      <c r="C16" s="2" t="s">
        <v>90</v>
      </c>
      <c r="D16" s="2" t="s">
        <v>90</v>
      </c>
      <c r="E16" s="2" t="s">
        <v>17</v>
      </c>
      <c r="F16" s="2" t="s">
        <v>89</v>
      </c>
      <c r="G16" s="2" t="s">
        <v>90</v>
      </c>
      <c r="H16" s="2" t="s">
        <v>90</v>
      </c>
      <c r="I16" s="2" t="s">
        <v>90</v>
      </c>
      <c r="J16" s="2" t="s">
        <v>89</v>
      </c>
      <c r="K16" s="2" t="s">
        <v>16</v>
      </c>
      <c r="L16" s="2" t="s">
        <v>89</v>
      </c>
      <c r="M16" s="2" t="s">
        <v>90</v>
      </c>
      <c r="N16" s="2" t="s">
        <v>90</v>
      </c>
      <c r="O16" s="2" t="s">
        <v>90</v>
      </c>
      <c r="P16" s="2" t="s">
        <v>90</v>
      </c>
      <c r="Q16" s="2" t="s">
        <v>90</v>
      </c>
    </row>
    <row r="17" ht="12.75" customHeight="1">
      <c r="A17" s="2" t="s">
        <v>371</v>
      </c>
      <c r="B17" s="2" t="s">
        <v>17</v>
      </c>
      <c r="C17" s="2" t="s">
        <v>90</v>
      </c>
      <c r="D17" s="2" t="s">
        <v>90</v>
      </c>
      <c r="E17" s="2" t="s">
        <v>17</v>
      </c>
      <c r="F17" s="2" t="s">
        <v>89</v>
      </c>
      <c r="G17" s="2" t="s">
        <v>90</v>
      </c>
      <c r="H17" s="2" t="s">
        <v>89</v>
      </c>
      <c r="I17" s="2" t="s">
        <v>15</v>
      </c>
      <c r="J17" s="2" t="s">
        <v>89</v>
      </c>
      <c r="K17" s="2" t="s">
        <v>16</v>
      </c>
      <c r="L17" s="2" t="s">
        <v>89</v>
      </c>
      <c r="M17" s="2" t="s">
        <v>90</v>
      </c>
      <c r="N17" s="2" t="s">
        <v>90</v>
      </c>
      <c r="O17" s="2" t="s">
        <v>90</v>
      </c>
      <c r="P17" s="2" t="s">
        <v>90</v>
      </c>
      <c r="Q17" s="2" t="s">
        <v>90</v>
      </c>
    </row>
    <row r="18" ht="12.75" customHeight="1">
      <c r="A18" s="2" t="s">
        <v>18</v>
      </c>
      <c r="B18" s="2" t="s">
        <v>15</v>
      </c>
      <c r="C18" s="2" t="s">
        <v>90</v>
      </c>
      <c r="D18" s="2" t="s">
        <v>90</v>
      </c>
      <c r="E18" s="2" t="s">
        <v>16</v>
      </c>
      <c r="F18" s="2" t="s">
        <v>16</v>
      </c>
      <c r="G18" s="2" t="s">
        <v>90</v>
      </c>
      <c r="H18" s="2" t="s">
        <v>90</v>
      </c>
      <c r="I18" s="2" t="s">
        <v>15</v>
      </c>
      <c r="J18" s="2" t="s">
        <v>90</v>
      </c>
      <c r="K18" s="2" t="s">
        <v>90</v>
      </c>
      <c r="L18" s="2" t="s">
        <v>90</v>
      </c>
      <c r="M18" s="2" t="s">
        <v>90</v>
      </c>
      <c r="N18" s="2" t="s">
        <v>90</v>
      </c>
      <c r="O18" s="2" t="s">
        <v>90</v>
      </c>
      <c r="P18" s="2" t="s">
        <v>90</v>
      </c>
      <c r="Q18" s="2" t="s">
        <v>90</v>
      </c>
    </row>
    <row r="19" ht="12.75" customHeight="1">
      <c r="A19" s="2" t="s">
        <v>372</v>
      </c>
      <c r="B19" s="2" t="s">
        <v>90</v>
      </c>
      <c r="C19" s="2" t="s">
        <v>90</v>
      </c>
      <c r="D19" s="2" t="s">
        <v>90</v>
      </c>
      <c r="E19" s="2" t="s">
        <v>16</v>
      </c>
      <c r="F19" s="2" t="s">
        <v>16</v>
      </c>
      <c r="G19" s="2" t="s">
        <v>90</v>
      </c>
      <c r="H19" s="2" t="s">
        <v>90</v>
      </c>
      <c r="I19" s="2" t="s">
        <v>90</v>
      </c>
      <c r="J19" s="2" t="s">
        <v>15</v>
      </c>
      <c r="K19" s="2" t="s">
        <v>90</v>
      </c>
      <c r="L19" s="2" t="s">
        <v>90</v>
      </c>
      <c r="M19" s="2" t="s">
        <v>90</v>
      </c>
      <c r="N19" s="2" t="s">
        <v>90</v>
      </c>
      <c r="O19" s="2" t="s">
        <v>90</v>
      </c>
      <c r="P19" s="2" t="s">
        <v>90</v>
      </c>
      <c r="Q19" s="2" t="s">
        <v>90</v>
      </c>
    </row>
    <row r="20" ht="12.75" customHeight="1">
      <c r="A20" s="2" t="s">
        <v>373</v>
      </c>
      <c r="B20" s="2" t="s">
        <v>16</v>
      </c>
      <c r="C20" s="2" t="s">
        <v>90</v>
      </c>
      <c r="D20" s="2" t="s">
        <v>90</v>
      </c>
      <c r="E20" s="2" t="s">
        <v>17</v>
      </c>
      <c r="F20" s="2" t="s">
        <v>89</v>
      </c>
      <c r="G20" s="2" t="s">
        <v>90</v>
      </c>
      <c r="H20" s="2" t="s">
        <v>90</v>
      </c>
      <c r="I20" s="2" t="s">
        <v>90</v>
      </c>
      <c r="J20" s="2" t="s">
        <v>90</v>
      </c>
      <c r="K20" s="2" t="s">
        <v>90</v>
      </c>
      <c r="L20" s="2" t="s">
        <v>90</v>
      </c>
      <c r="M20" s="2" t="s">
        <v>90</v>
      </c>
      <c r="N20" s="2" t="s">
        <v>90</v>
      </c>
      <c r="O20" s="2" t="s">
        <v>15</v>
      </c>
      <c r="P20" s="2" t="s">
        <v>90</v>
      </c>
      <c r="Q20" s="2" t="s">
        <v>90</v>
      </c>
    </row>
    <row r="21" ht="12.75" customHeight="1">
      <c r="A21" s="3" t="s">
        <v>91</v>
      </c>
      <c r="B21" s="3" t="s">
        <v>17</v>
      </c>
      <c r="C21" s="3" t="s">
        <v>90</v>
      </c>
      <c r="D21" s="3" t="s">
        <v>90</v>
      </c>
      <c r="E21" s="3" t="s">
        <v>17</v>
      </c>
      <c r="F21" s="3" t="s">
        <v>15</v>
      </c>
      <c r="G21" s="3" t="s">
        <v>90</v>
      </c>
      <c r="H21" s="3" t="s">
        <v>89</v>
      </c>
      <c r="I21" s="3" t="s">
        <v>16</v>
      </c>
      <c r="J21" s="3" t="s">
        <v>89</v>
      </c>
      <c r="K21" s="3" t="s">
        <v>90</v>
      </c>
      <c r="L21" s="3" t="s">
        <v>90</v>
      </c>
      <c r="M21" s="3" t="s">
        <v>90</v>
      </c>
      <c r="N21" s="3" t="s">
        <v>90</v>
      </c>
      <c r="O21" s="3" t="s">
        <v>90</v>
      </c>
      <c r="P21" s="3" t="s">
        <v>90</v>
      </c>
      <c r="Q21" s="3" t="s">
        <v>90</v>
      </c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2" t="s">
        <v>23</v>
      </c>
      <c r="B22" s="2" t="s">
        <v>89</v>
      </c>
      <c r="C22" s="2" t="s">
        <v>90</v>
      </c>
      <c r="D22" s="2" t="s">
        <v>90</v>
      </c>
      <c r="E22" s="2" t="s">
        <v>89</v>
      </c>
      <c r="F22" s="2" t="s">
        <v>17</v>
      </c>
      <c r="G22" s="2" t="s">
        <v>15</v>
      </c>
      <c r="H22" s="2" t="s">
        <v>89</v>
      </c>
      <c r="I22" s="2" t="s">
        <v>16</v>
      </c>
      <c r="J22" s="2" t="s">
        <v>89</v>
      </c>
      <c r="K22" s="2" t="s">
        <v>90</v>
      </c>
      <c r="L22" s="2" t="s">
        <v>90</v>
      </c>
      <c r="M22" s="2" t="s">
        <v>90</v>
      </c>
      <c r="N22" s="2" t="s">
        <v>90</v>
      </c>
      <c r="O22" s="2" t="s">
        <v>90</v>
      </c>
      <c r="P22" s="2" t="s">
        <v>90</v>
      </c>
      <c r="Q22" s="2" t="s">
        <v>90</v>
      </c>
    </row>
    <row r="23" ht="12.75" customHeight="1">
      <c r="A23" s="2" t="s">
        <v>374</v>
      </c>
      <c r="B23" s="2" t="s">
        <v>16</v>
      </c>
      <c r="C23" s="2" t="s">
        <v>90</v>
      </c>
      <c r="D23" s="2" t="s">
        <v>90</v>
      </c>
      <c r="E23" s="2" t="s">
        <v>15</v>
      </c>
      <c r="F23" s="2" t="s">
        <v>15</v>
      </c>
      <c r="G23" s="2" t="s">
        <v>90</v>
      </c>
      <c r="H23" s="2" t="s">
        <v>90</v>
      </c>
      <c r="I23" s="2" t="s">
        <v>16</v>
      </c>
      <c r="J23" s="2" t="s">
        <v>90</v>
      </c>
      <c r="K23" s="2" t="s">
        <v>90</v>
      </c>
      <c r="L23" s="2" t="s">
        <v>90</v>
      </c>
      <c r="M23" s="2" t="s">
        <v>90</v>
      </c>
      <c r="N23" s="2" t="s">
        <v>90</v>
      </c>
      <c r="O23" s="2" t="s">
        <v>90</v>
      </c>
      <c r="P23" s="2" t="s">
        <v>90</v>
      </c>
      <c r="Q23" s="2" t="s">
        <v>90</v>
      </c>
    </row>
    <row r="24" ht="12.75" customHeight="1">
      <c r="A24" s="2" t="s">
        <v>23</v>
      </c>
      <c r="B24" s="2" t="s">
        <v>16</v>
      </c>
      <c r="C24" s="2" t="s">
        <v>90</v>
      </c>
      <c r="D24" s="2" t="s">
        <v>90</v>
      </c>
      <c r="E24" s="2" t="s">
        <v>15</v>
      </c>
      <c r="F24" s="2" t="s">
        <v>17</v>
      </c>
      <c r="G24" s="2" t="s">
        <v>90</v>
      </c>
      <c r="H24" s="2" t="s">
        <v>90</v>
      </c>
      <c r="I24" s="2" t="s">
        <v>89</v>
      </c>
      <c r="J24" s="2" t="s">
        <v>90</v>
      </c>
      <c r="K24" s="2" t="s">
        <v>90</v>
      </c>
      <c r="L24" s="2" t="s">
        <v>90</v>
      </c>
      <c r="M24" s="2" t="s">
        <v>90</v>
      </c>
      <c r="N24" s="2" t="s">
        <v>90</v>
      </c>
      <c r="O24" s="2" t="s">
        <v>90</v>
      </c>
      <c r="P24" s="2" t="s">
        <v>90</v>
      </c>
      <c r="Q24" s="2" t="s">
        <v>90</v>
      </c>
    </row>
    <row r="25" ht="12.75" customHeight="1">
      <c r="A25" s="2">
        <v>-1.0</v>
      </c>
      <c r="B25" s="2" t="s">
        <v>15</v>
      </c>
      <c r="C25" s="2" t="s">
        <v>90</v>
      </c>
      <c r="D25" s="2" t="s">
        <v>90</v>
      </c>
      <c r="E25" s="2" t="s">
        <v>89</v>
      </c>
      <c r="F25" s="2" t="s">
        <v>17</v>
      </c>
      <c r="G25" s="2" t="s">
        <v>90</v>
      </c>
      <c r="H25" s="2" t="s">
        <v>89</v>
      </c>
      <c r="I25" s="2" t="s">
        <v>16</v>
      </c>
      <c r="J25" s="2" t="s">
        <v>90</v>
      </c>
      <c r="K25" s="2" t="s">
        <v>90</v>
      </c>
      <c r="L25" s="2" t="s">
        <v>90</v>
      </c>
      <c r="M25" s="2" t="s">
        <v>90</v>
      </c>
      <c r="N25" s="2" t="s">
        <v>90</v>
      </c>
      <c r="O25" s="2" t="s">
        <v>90</v>
      </c>
      <c r="P25" s="2" t="s">
        <v>90</v>
      </c>
      <c r="Q25" s="2" t="s">
        <v>90</v>
      </c>
    </row>
    <row r="26" ht="12.75" customHeight="1">
      <c r="A26" s="2" t="s">
        <v>23</v>
      </c>
      <c r="B26" s="2" t="s">
        <v>15</v>
      </c>
      <c r="C26" s="2" t="s">
        <v>90</v>
      </c>
      <c r="D26" s="2" t="s">
        <v>90</v>
      </c>
      <c r="E26" s="2" t="s">
        <v>89</v>
      </c>
      <c r="F26" s="2" t="s">
        <v>17</v>
      </c>
      <c r="G26" s="2" t="s">
        <v>89</v>
      </c>
      <c r="H26" s="2" t="s">
        <v>89</v>
      </c>
      <c r="I26" s="2" t="s">
        <v>16</v>
      </c>
      <c r="J26" s="2" t="s">
        <v>89</v>
      </c>
      <c r="K26" s="2" t="s">
        <v>90</v>
      </c>
      <c r="L26" s="2" t="s">
        <v>89</v>
      </c>
      <c r="M26" s="2" t="s">
        <v>90</v>
      </c>
      <c r="N26" s="2" t="s">
        <v>90</v>
      </c>
      <c r="O26" s="2" t="s">
        <v>90</v>
      </c>
      <c r="P26" s="2" t="s">
        <v>90</v>
      </c>
      <c r="Q26" s="2" t="s">
        <v>90</v>
      </c>
    </row>
    <row r="27" ht="12.75" customHeight="1">
      <c r="A27" s="2" t="s">
        <v>196</v>
      </c>
      <c r="B27" s="2" t="s">
        <v>90</v>
      </c>
      <c r="C27" s="2" t="s">
        <v>90</v>
      </c>
      <c r="D27" s="2" t="s">
        <v>90</v>
      </c>
      <c r="E27" s="2" t="s">
        <v>16</v>
      </c>
      <c r="F27" s="2" t="s">
        <v>15</v>
      </c>
      <c r="G27" s="2" t="s">
        <v>90</v>
      </c>
      <c r="H27" s="2" t="s">
        <v>90</v>
      </c>
      <c r="I27" s="2" t="s">
        <v>89</v>
      </c>
      <c r="J27" s="2" t="s">
        <v>17</v>
      </c>
      <c r="K27" s="2" t="s">
        <v>90</v>
      </c>
      <c r="L27" s="2" t="s">
        <v>90</v>
      </c>
      <c r="M27" s="2" t="s">
        <v>90</v>
      </c>
      <c r="N27" s="2" t="s">
        <v>90</v>
      </c>
      <c r="O27" s="2" t="s">
        <v>90</v>
      </c>
      <c r="P27" s="2" t="s">
        <v>90</v>
      </c>
      <c r="Q27" s="2" t="s">
        <v>90</v>
      </c>
    </row>
    <row r="28" ht="12.75" customHeight="1">
      <c r="A28" s="2" t="s">
        <v>92</v>
      </c>
      <c r="B28" s="2" t="s">
        <v>17</v>
      </c>
      <c r="C28" s="2" t="s">
        <v>90</v>
      </c>
      <c r="D28" s="2" t="s">
        <v>90</v>
      </c>
      <c r="E28" s="2" t="s">
        <v>16</v>
      </c>
      <c r="F28" s="2" t="s">
        <v>15</v>
      </c>
      <c r="G28" s="2" t="s">
        <v>90</v>
      </c>
      <c r="H28" s="2" t="s">
        <v>90</v>
      </c>
      <c r="I28" s="2" t="s">
        <v>90</v>
      </c>
      <c r="J28" s="2" t="s">
        <v>89</v>
      </c>
      <c r="K28" s="2" t="s">
        <v>90</v>
      </c>
      <c r="L28" s="2" t="s">
        <v>90</v>
      </c>
      <c r="M28" s="2" t="s">
        <v>90</v>
      </c>
      <c r="N28" s="2" t="s">
        <v>90</v>
      </c>
      <c r="O28" s="2" t="s">
        <v>90</v>
      </c>
      <c r="P28" s="2" t="s">
        <v>90</v>
      </c>
      <c r="Q28" s="2" t="s">
        <v>90</v>
      </c>
    </row>
    <row r="29" ht="12.75" customHeight="1">
      <c r="A29" s="2" t="s">
        <v>375</v>
      </c>
      <c r="B29" s="2" t="s">
        <v>17</v>
      </c>
      <c r="C29" s="2" t="s">
        <v>90</v>
      </c>
      <c r="D29" s="2" t="s">
        <v>90</v>
      </c>
      <c r="E29" s="2" t="s">
        <v>90</v>
      </c>
      <c r="F29" s="2" t="s">
        <v>89</v>
      </c>
      <c r="G29" s="2" t="s">
        <v>90</v>
      </c>
      <c r="H29" s="2" t="s">
        <v>16</v>
      </c>
      <c r="I29" s="2" t="s">
        <v>15</v>
      </c>
      <c r="J29" s="2" t="s">
        <v>89</v>
      </c>
      <c r="K29" s="2" t="s">
        <v>90</v>
      </c>
      <c r="L29" s="2" t="s">
        <v>90</v>
      </c>
      <c r="M29" s="2" t="s">
        <v>90</v>
      </c>
      <c r="N29" s="2" t="s">
        <v>90</v>
      </c>
      <c r="O29" s="2" t="s">
        <v>89</v>
      </c>
      <c r="P29" s="2" t="s">
        <v>90</v>
      </c>
      <c r="Q29" s="2" t="s">
        <v>90</v>
      </c>
    </row>
    <row r="30" ht="12.75" customHeight="1"/>
    <row r="31" ht="12.75" customHeight="1"/>
    <row r="32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hidden="1" customHeight="1"/>
    <row r="38" ht="12.75" hidden="1" customHeight="1"/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  <row r="48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customHeight="1"/>
    <row r="99" ht="12.75" customHeight="1"/>
    <row r="100" ht="12.75" customHeight="1">
      <c r="A100" s="2" t="s">
        <v>89</v>
      </c>
      <c r="B100" s="3">
        <f t="array" ref="B100">SUM(IF(B2:B99="v",1))</f>
        <v>5</v>
      </c>
      <c r="C100" s="3">
        <f t="array" ref="C100">SUM(IF(C2:C99="v",1))</f>
        <v>0</v>
      </c>
      <c r="D100" s="3">
        <f t="array" ref="D100">SUM(IF(D2:D99="v",1))</f>
        <v>0</v>
      </c>
      <c r="E100" s="3">
        <f t="array" ref="E100">SUM(IF(E2:E99="v",1))</f>
        <v>6</v>
      </c>
      <c r="F100" s="3">
        <f t="array" ref="F100">SUM(IF(F2:F99="v",1))</f>
        <v>5</v>
      </c>
      <c r="G100" s="3">
        <f t="array" ref="G100">SUM(IF(G2:G99="v",1))</f>
        <v>3</v>
      </c>
      <c r="H100" s="3">
        <f t="array" ref="H100">SUM(IF(H2:H99="v",1))</f>
        <v>11</v>
      </c>
      <c r="I100" s="3">
        <f t="array" ref="I100">SUM(IF(I2:I99="v",1))</f>
        <v>7</v>
      </c>
      <c r="J100" s="3">
        <f t="array" ref="J100">SUM(IF(J2:J99="v",1))</f>
        <v>10</v>
      </c>
      <c r="K100" s="3">
        <f t="array" ref="K100">SUM(IF(K2:K99="v",1))</f>
        <v>3</v>
      </c>
      <c r="L100" s="3">
        <f t="array" ref="L100">SUM(IF(L2:L99="v",1))</f>
        <v>4</v>
      </c>
      <c r="M100" s="3">
        <f t="array" ref="M100">SUM(IF(M2:M99="v",1))</f>
        <v>0</v>
      </c>
      <c r="N100" s="3">
        <f t="array" ref="N100">SUM(IF(N2:N99="v",1))</f>
        <v>0</v>
      </c>
      <c r="O100" s="3">
        <f t="array" ref="O100">SUM(IF(O2:O99="v",1))</f>
        <v>2</v>
      </c>
      <c r="P100" s="3">
        <f t="array" ref="P100">SUM(IF(P2:P99="v",1))</f>
        <v>0</v>
      </c>
      <c r="Q100" s="3">
        <f t="array" ref="Q100">SUM(IF(Q2:Q99="v",1))</f>
        <v>0</v>
      </c>
      <c r="R100" s="2" t="s">
        <v>89</v>
      </c>
    </row>
    <row r="101" ht="12.75" customHeight="1">
      <c r="A101" s="2" t="s">
        <v>90</v>
      </c>
      <c r="B101" s="3">
        <f t="array" ref="B101">SUM(IF(B2:B99="x",1))</f>
        <v>6</v>
      </c>
      <c r="C101" s="3">
        <f t="array" ref="C101">SUM(IF(C2:C99="x",1))</f>
        <v>28</v>
      </c>
      <c r="D101" s="3">
        <f t="array" ref="D101">SUM(IF(D2:D99="x",1))</f>
        <v>28</v>
      </c>
      <c r="E101" s="3">
        <f t="array" ref="E101">SUM(IF(E2:E99="x",1))</f>
        <v>3</v>
      </c>
      <c r="F101" s="3">
        <f t="array" ref="F101">SUM(IF(F2:F99="x",1))</f>
        <v>1</v>
      </c>
      <c r="G101" s="3">
        <f t="array" ref="G101">SUM(IF(G2:G99="x",1))</f>
        <v>23</v>
      </c>
      <c r="H101" s="3">
        <f t="array" ref="H101">SUM(IF(H2:H99="x",1))</f>
        <v>10</v>
      </c>
      <c r="I101" s="3">
        <f t="array" ref="I101">SUM(IF(I2:I99="x",1))</f>
        <v>5</v>
      </c>
      <c r="J101" s="3">
        <f t="array" ref="J101">SUM(IF(J2:J99="x",1))</f>
        <v>10</v>
      </c>
      <c r="K101" s="3">
        <f t="array" ref="K101">SUM(IF(K2:K99="x",1))</f>
        <v>17</v>
      </c>
      <c r="L101" s="3">
        <f t="array" ref="L101">SUM(IF(L2:L99="x",1))</f>
        <v>22</v>
      </c>
      <c r="M101" s="3">
        <f t="array" ref="M101">SUM(IF(M2:M99="x",1))</f>
        <v>28</v>
      </c>
      <c r="N101" s="3">
        <f t="array" ref="N101">SUM(IF(N2:N99="x",1))</f>
        <v>28</v>
      </c>
      <c r="O101" s="3">
        <f t="array" ref="O101">SUM(IF(O2:O99="x",1))</f>
        <v>24</v>
      </c>
      <c r="P101" s="3">
        <f t="array" ref="P101">SUM(IF(P2:P99="x",1))</f>
        <v>28</v>
      </c>
      <c r="Q101" s="3">
        <f t="array" ref="Q101">SUM(IF(Q2:Q99="x",1))</f>
        <v>28</v>
      </c>
      <c r="R101" s="2" t="s">
        <v>90</v>
      </c>
    </row>
    <row r="102" ht="12.75" customHeight="1">
      <c r="A102" s="2" t="s">
        <v>128</v>
      </c>
      <c r="B102" s="3">
        <f t="shared" ref="B102:Q102" si="1">B100+B103+B104+B105</f>
        <v>22</v>
      </c>
      <c r="C102" s="3">
        <f t="shared" si="1"/>
        <v>0</v>
      </c>
      <c r="D102" s="3">
        <f t="shared" si="1"/>
        <v>0</v>
      </c>
      <c r="E102" s="3">
        <f t="shared" si="1"/>
        <v>25</v>
      </c>
      <c r="F102" s="3">
        <f t="shared" si="1"/>
        <v>27</v>
      </c>
      <c r="G102" s="3">
        <f t="shared" si="1"/>
        <v>5</v>
      </c>
      <c r="H102" s="3">
        <f t="shared" si="1"/>
        <v>18</v>
      </c>
      <c r="I102" s="3">
        <f t="shared" si="1"/>
        <v>23</v>
      </c>
      <c r="J102" s="3">
        <f t="shared" si="1"/>
        <v>18</v>
      </c>
      <c r="K102" s="3">
        <f t="shared" si="1"/>
        <v>11</v>
      </c>
      <c r="L102" s="3">
        <f t="shared" si="1"/>
        <v>6</v>
      </c>
      <c r="M102" s="3">
        <f t="shared" si="1"/>
        <v>0</v>
      </c>
      <c r="N102" s="3">
        <f t="shared" si="1"/>
        <v>0</v>
      </c>
      <c r="O102" s="3">
        <f t="shared" si="1"/>
        <v>4</v>
      </c>
      <c r="P102" s="3">
        <f t="shared" si="1"/>
        <v>0</v>
      </c>
      <c r="Q102" s="3">
        <f t="shared" si="1"/>
        <v>0</v>
      </c>
      <c r="R102" s="2" t="s">
        <v>128</v>
      </c>
    </row>
    <row r="103" ht="12.75" customHeight="1">
      <c r="A103" s="2" t="s">
        <v>17</v>
      </c>
      <c r="B103" s="3">
        <f t="array" ref="B103">SUM(IF(B$2:B$99=$A103,1))</f>
        <v>4</v>
      </c>
      <c r="C103" s="3">
        <f t="array" ref="C103">SUM(IF(C$2:C$99=$A103,1))</f>
        <v>0</v>
      </c>
      <c r="D103" s="3">
        <f t="array" ref="D103">SUM(IF(D$2:D$99=$A103,1))</f>
        <v>0</v>
      </c>
      <c r="E103" s="3">
        <f t="array" ref="E103">SUM(IF(E$2:E$99=$A103,1))</f>
        <v>6</v>
      </c>
      <c r="F103" s="3">
        <f t="array" ref="F103">SUM(IF(F$2:F$99=$A103,1))</f>
        <v>6</v>
      </c>
      <c r="G103" s="3">
        <f t="array" ref="G103">SUM(IF(G$2:G$99=$A103,1))</f>
        <v>1</v>
      </c>
      <c r="H103" s="3">
        <f t="array" ref="H103">SUM(IF(H$2:H$99=$A103,1))</f>
        <v>2</v>
      </c>
      <c r="I103" s="3">
        <f t="array" ref="I103">SUM(IF(I$2:I$99=$A103,1))</f>
        <v>2</v>
      </c>
      <c r="J103" s="3">
        <f t="array" ref="J103">SUM(IF(J$2:J$99=$A103,1))</f>
        <v>1</v>
      </c>
      <c r="K103" s="3">
        <f t="array" ref="K103">SUM(IF(K$2:K$99=$A103,1))</f>
        <v>2</v>
      </c>
      <c r="L103" s="3">
        <f t="array" ref="L103">SUM(IF(L$2:L$99=$A103,1))</f>
        <v>0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  <c r="Q103" s="3">
        <f t="array" ref="Q103">SUM(IF(Q$2:Q$99=$A103,1))</f>
        <v>0</v>
      </c>
      <c r="R103" s="2" t="s">
        <v>17</v>
      </c>
    </row>
    <row r="104" ht="12.75" customHeight="1">
      <c r="A104" s="2" t="s">
        <v>15</v>
      </c>
      <c r="B104" s="3">
        <f t="array" ref="B104">SUM(IF(B$2:B$99=$A104,1))</f>
        <v>6</v>
      </c>
      <c r="C104" s="3">
        <f t="array" ref="C104">SUM(IF(C$2:C$99=$A104,1))</f>
        <v>0</v>
      </c>
      <c r="D104" s="3">
        <f t="array" ref="D104">SUM(IF(D$2:D$99=$A104,1))</f>
        <v>0</v>
      </c>
      <c r="E104" s="3">
        <f t="array" ref="E104">SUM(IF(E$2:E$99=$A104,1))</f>
        <v>5</v>
      </c>
      <c r="F104" s="3">
        <f t="array" ref="F104">SUM(IF(F$2:F$99=$A104,1))</f>
        <v>6</v>
      </c>
      <c r="G104" s="3">
        <f t="array" ref="G104">SUM(IF(G$2:G$99=$A104,1))</f>
        <v>1</v>
      </c>
      <c r="H104" s="3">
        <f t="array" ref="H104">SUM(IF(H$2:H$99=$A104,1))</f>
        <v>3</v>
      </c>
      <c r="I104" s="3">
        <f t="array" ref="I104">SUM(IF(I$2:I$99=$A104,1))</f>
        <v>7</v>
      </c>
      <c r="J104" s="3">
        <f t="array" ref="J104">SUM(IF(J$2:J$99=$A104,1))</f>
        <v>2</v>
      </c>
      <c r="K104" s="3">
        <f t="array" ref="K104">SUM(IF(K$2:K$99=$A104,1))</f>
        <v>2</v>
      </c>
      <c r="L104" s="3">
        <f t="array" ref="L104">SUM(IF(L$2:L$99=$A104,1))</f>
        <v>2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1</v>
      </c>
      <c r="P104" s="3">
        <f t="array" ref="P104">SUM(IF(P$2:P$99=$A104,1))</f>
        <v>0</v>
      </c>
      <c r="Q104" s="3">
        <f t="array" ref="Q104">SUM(IF(Q$2:Q$99=$A104,1))</f>
        <v>0</v>
      </c>
      <c r="R104" s="2" t="s">
        <v>15</v>
      </c>
    </row>
    <row r="105" ht="12.75" customHeight="1">
      <c r="A105" s="2" t="s">
        <v>16</v>
      </c>
      <c r="B105" s="3">
        <f t="array" ref="B105">SUM(IF(B$2:B$99=$A105,1))</f>
        <v>7</v>
      </c>
      <c r="C105" s="3">
        <f t="array" ref="C105">SUM(IF(C$2:C$99=$A105,1))</f>
        <v>0</v>
      </c>
      <c r="D105" s="3">
        <f t="array" ref="D105">SUM(IF(D$2:D$99=$A105,1))</f>
        <v>0</v>
      </c>
      <c r="E105" s="3">
        <f t="array" ref="E105">SUM(IF(E$2:E$99=$A105,1))</f>
        <v>8</v>
      </c>
      <c r="F105" s="3">
        <f t="array" ref="F105">SUM(IF(F$2:F$99=$A105,1))</f>
        <v>10</v>
      </c>
      <c r="G105" s="3">
        <f t="array" ref="G105">SUM(IF(G$2:G$99=$A105,1))</f>
        <v>0</v>
      </c>
      <c r="H105" s="3">
        <f t="array" ref="H105">SUM(IF(H$2:H$99=$A105,1))</f>
        <v>2</v>
      </c>
      <c r="I105" s="3">
        <f t="array" ref="I105">SUM(IF(I$2:I$99=$A105,1))</f>
        <v>7</v>
      </c>
      <c r="J105" s="3">
        <f t="array" ref="J105">SUM(IF(J$2:J$99=$A105,1))</f>
        <v>5</v>
      </c>
      <c r="K105" s="3">
        <f t="array" ref="K105">SUM(IF(K$2:K$99=$A105,1))</f>
        <v>4</v>
      </c>
      <c r="L105" s="3">
        <f t="array" ref="L105">SUM(IF(L$2:L$99=$A105,1))</f>
        <v>0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1</v>
      </c>
      <c r="P105" s="3">
        <f t="array" ref="P105">SUM(IF(P$2:P$99=$A105,1))</f>
        <v>0</v>
      </c>
      <c r="Q105" s="3">
        <f t="array" ref="Q105">SUM(IF(Q$2:Q$99=$A105,1))</f>
        <v>0</v>
      </c>
      <c r="R105" s="2" t="s">
        <v>16</v>
      </c>
    </row>
    <row r="106" ht="12.75" customHeight="1">
      <c r="A106" s="4" t="s">
        <v>129</v>
      </c>
      <c r="B106" s="4">
        <f t="shared" ref="B106:Q106" si="2">B103+B104*2+B105*3</f>
        <v>37</v>
      </c>
      <c r="C106" s="4">
        <f t="shared" si="2"/>
        <v>0</v>
      </c>
      <c r="D106" s="4">
        <f t="shared" si="2"/>
        <v>0</v>
      </c>
      <c r="E106" s="4">
        <f t="shared" si="2"/>
        <v>40</v>
      </c>
      <c r="F106" s="4">
        <f t="shared" si="2"/>
        <v>48</v>
      </c>
      <c r="G106" s="4">
        <f t="shared" si="2"/>
        <v>3</v>
      </c>
      <c r="H106" s="4">
        <f t="shared" si="2"/>
        <v>14</v>
      </c>
      <c r="I106" s="4">
        <f t="shared" si="2"/>
        <v>37</v>
      </c>
      <c r="J106" s="4">
        <f t="shared" si="2"/>
        <v>20</v>
      </c>
      <c r="K106" s="4">
        <f t="shared" si="2"/>
        <v>18</v>
      </c>
      <c r="L106" s="4">
        <f t="shared" si="2"/>
        <v>4</v>
      </c>
      <c r="M106" s="4">
        <f t="shared" si="2"/>
        <v>0</v>
      </c>
      <c r="N106" s="4">
        <f t="shared" si="2"/>
        <v>0</v>
      </c>
      <c r="O106" s="4">
        <f t="shared" si="2"/>
        <v>5</v>
      </c>
      <c r="P106" s="4">
        <f t="shared" si="2"/>
        <v>0</v>
      </c>
      <c r="Q106" s="4">
        <f t="shared" si="2"/>
        <v>0</v>
      </c>
      <c r="R106" s="4" t="s">
        <v>129</v>
      </c>
    </row>
    <row r="107" ht="12.75" customHeight="1">
      <c r="A107" s="2" t="s">
        <v>130</v>
      </c>
      <c r="B107" s="11">
        <f t="shared" ref="B107:Q107" si="3">IF(B100+B103+B104+B105&lt;&gt;0,B106/(B100+B103+B104+B105),0)</f>
        <v>1.681818182</v>
      </c>
      <c r="C107" s="11">
        <f t="shared" si="3"/>
        <v>0</v>
      </c>
      <c r="D107" s="11">
        <f t="shared" si="3"/>
        <v>0</v>
      </c>
      <c r="E107" s="11">
        <f t="shared" si="3"/>
        <v>1.6</v>
      </c>
      <c r="F107" s="11">
        <f t="shared" si="3"/>
        <v>1.777777778</v>
      </c>
      <c r="G107" s="11">
        <f t="shared" si="3"/>
        <v>0.6</v>
      </c>
      <c r="H107" s="11">
        <f t="shared" si="3"/>
        <v>0.7777777778</v>
      </c>
      <c r="I107" s="11">
        <f t="shared" si="3"/>
        <v>1.608695652</v>
      </c>
      <c r="J107" s="11">
        <f t="shared" si="3"/>
        <v>1.111111111</v>
      </c>
      <c r="K107" s="11">
        <f t="shared" si="3"/>
        <v>1.636363636</v>
      </c>
      <c r="L107" s="11">
        <f t="shared" si="3"/>
        <v>0.6666666667</v>
      </c>
      <c r="M107" s="11">
        <f t="shared" si="3"/>
        <v>0</v>
      </c>
      <c r="N107" s="11">
        <f t="shared" si="3"/>
        <v>0</v>
      </c>
      <c r="O107" s="11">
        <f t="shared" si="3"/>
        <v>1.25</v>
      </c>
      <c r="P107" s="11">
        <f t="shared" si="3"/>
        <v>0</v>
      </c>
      <c r="Q107" s="11">
        <f t="shared" si="3"/>
        <v>0</v>
      </c>
      <c r="R107" s="2" t="s">
        <v>130</v>
      </c>
    </row>
    <row r="108" ht="12.75" customHeight="1">
      <c r="A108" s="2" t="s">
        <v>363</v>
      </c>
      <c r="B108" s="2">
        <f t="shared" ref="B108:Q108" si="4">B105+B104+B103</f>
        <v>17</v>
      </c>
      <c r="C108" s="2">
        <f t="shared" si="4"/>
        <v>0</v>
      </c>
      <c r="D108" s="2">
        <f t="shared" si="4"/>
        <v>0</v>
      </c>
      <c r="E108" s="2">
        <f t="shared" si="4"/>
        <v>19</v>
      </c>
      <c r="F108" s="2">
        <f t="shared" si="4"/>
        <v>22</v>
      </c>
      <c r="G108" s="2">
        <f t="shared" si="4"/>
        <v>2</v>
      </c>
      <c r="H108" s="2">
        <f t="shared" si="4"/>
        <v>7</v>
      </c>
      <c r="I108" s="2">
        <f t="shared" si="4"/>
        <v>16</v>
      </c>
      <c r="J108" s="2">
        <f t="shared" si="4"/>
        <v>8</v>
      </c>
      <c r="K108" s="2">
        <f t="shared" si="4"/>
        <v>8</v>
      </c>
      <c r="L108" s="2">
        <f t="shared" si="4"/>
        <v>2</v>
      </c>
      <c r="M108" s="2">
        <f t="shared" si="4"/>
        <v>0</v>
      </c>
      <c r="N108" s="2">
        <f t="shared" si="4"/>
        <v>0</v>
      </c>
      <c r="O108" s="2">
        <f t="shared" si="4"/>
        <v>2</v>
      </c>
      <c r="P108" s="2">
        <f t="shared" si="4"/>
        <v>0</v>
      </c>
      <c r="Q108" s="2">
        <f t="shared" si="4"/>
        <v>0</v>
      </c>
      <c r="R108" s="2" t="s">
        <v>363</v>
      </c>
    </row>
    <row r="109" ht="12.75" customHeight="1">
      <c r="A109" s="2" t="s">
        <v>131</v>
      </c>
      <c r="B109" s="3">
        <f t="shared" ref="B109:Q109" si="5">B102+B101</f>
        <v>28</v>
      </c>
      <c r="C109" s="3">
        <f t="shared" si="5"/>
        <v>28</v>
      </c>
      <c r="D109" s="3">
        <f t="shared" si="5"/>
        <v>28</v>
      </c>
      <c r="E109" s="3">
        <f t="shared" si="5"/>
        <v>28</v>
      </c>
      <c r="F109" s="3">
        <f t="shared" si="5"/>
        <v>28</v>
      </c>
      <c r="G109" s="3">
        <f t="shared" si="5"/>
        <v>28</v>
      </c>
      <c r="H109" s="3">
        <f t="shared" si="5"/>
        <v>28</v>
      </c>
      <c r="I109" s="3">
        <f t="shared" si="5"/>
        <v>28</v>
      </c>
      <c r="J109" s="3">
        <f t="shared" si="5"/>
        <v>28</v>
      </c>
      <c r="K109" s="3">
        <f t="shared" si="5"/>
        <v>28</v>
      </c>
      <c r="L109" s="3">
        <f t="shared" si="5"/>
        <v>28</v>
      </c>
      <c r="M109" s="3">
        <f t="shared" si="5"/>
        <v>28</v>
      </c>
      <c r="N109" s="3">
        <f t="shared" si="5"/>
        <v>28</v>
      </c>
      <c r="O109" s="3">
        <f t="shared" si="5"/>
        <v>28</v>
      </c>
      <c r="P109" s="3">
        <f t="shared" si="5"/>
        <v>28</v>
      </c>
      <c r="Q109" s="3">
        <f t="shared" si="5"/>
        <v>28</v>
      </c>
      <c r="R109" s="2" t="s">
        <v>131</v>
      </c>
    </row>
    <row r="110" ht="12.75" customHeight="1"/>
    <row r="111" ht="12.75" customHeight="1">
      <c r="A111" s="2" t="s">
        <v>132</v>
      </c>
      <c r="B111" s="3">
        <f>B106+G106+J106+I106</f>
        <v>97</v>
      </c>
      <c r="D111" s="2" t="s">
        <v>133</v>
      </c>
      <c r="E111" s="12">
        <f>B106+G106</f>
        <v>40</v>
      </c>
      <c r="G111" s="2" t="s">
        <v>134</v>
      </c>
      <c r="H111" s="3">
        <f>I106+J106</f>
        <v>57</v>
      </c>
      <c r="J111" s="2" t="s">
        <v>135</v>
      </c>
      <c r="K111" s="3">
        <f>B102+G102+I102+J102</f>
        <v>68</v>
      </c>
      <c r="M111" s="2" t="s">
        <v>136</v>
      </c>
      <c r="N111" s="11">
        <f t="shared" ref="N111:N113" si="6">B111/K111</f>
        <v>1.426470588</v>
      </c>
      <c r="R111" s="2" t="s">
        <v>132</v>
      </c>
    </row>
    <row r="112" ht="12.75" customHeight="1">
      <c r="A112" s="2" t="s">
        <v>137</v>
      </c>
      <c r="B112" s="3">
        <f>C106+E106+H106+L106+M106</f>
        <v>58</v>
      </c>
      <c r="D112" s="2" t="s">
        <v>138</v>
      </c>
      <c r="E112" s="3">
        <f>M106+L106</f>
        <v>4</v>
      </c>
      <c r="G112" s="2" t="s">
        <v>139</v>
      </c>
      <c r="H112" s="3">
        <f>C106+E106+H106</f>
        <v>54</v>
      </c>
      <c r="J112" s="2" t="s">
        <v>135</v>
      </c>
      <c r="K112" s="3">
        <f>C102+E102+H102+L102+M102</f>
        <v>49</v>
      </c>
      <c r="M112" s="2" t="s">
        <v>136</v>
      </c>
      <c r="N112" s="11">
        <f t="shared" si="6"/>
        <v>1.183673469</v>
      </c>
      <c r="R112" s="2" t="s">
        <v>137</v>
      </c>
    </row>
    <row r="113" ht="12.75" customHeight="1">
      <c r="A113" s="2" t="s">
        <v>140</v>
      </c>
      <c r="B113" s="3">
        <f>D106+F106+K106+N106</f>
        <v>66</v>
      </c>
      <c r="D113" s="2" t="s">
        <v>141</v>
      </c>
      <c r="E113" s="3">
        <f>K106+N106</f>
        <v>18</v>
      </c>
      <c r="G113" s="2" t="s">
        <v>142</v>
      </c>
      <c r="H113" s="3">
        <f>D106+F106</f>
        <v>48</v>
      </c>
      <c r="J113" s="2" t="s">
        <v>135</v>
      </c>
      <c r="K113" s="3">
        <f>D102+F102+K102+N102</f>
        <v>38</v>
      </c>
      <c r="M113" s="2" t="s">
        <v>136</v>
      </c>
      <c r="N113" s="11">
        <f t="shared" si="6"/>
        <v>1.736842105</v>
      </c>
      <c r="R113" s="2" t="s">
        <v>140</v>
      </c>
    </row>
    <row r="114" ht="12.75" customHeight="1">
      <c r="B114" s="3"/>
      <c r="E114" s="3"/>
      <c r="H114" s="3"/>
      <c r="K114" s="3"/>
      <c r="N114" s="11"/>
    </row>
    <row r="115" ht="12.75" customHeight="1">
      <c r="A115" s="20"/>
      <c r="B115" s="3" t="s">
        <v>0</v>
      </c>
      <c r="C115" s="3" t="s">
        <v>1</v>
      </c>
      <c r="D115" s="16" t="s">
        <v>2</v>
      </c>
      <c r="E115" s="3" t="s">
        <v>3</v>
      </c>
      <c r="F115" s="16" t="s">
        <v>4</v>
      </c>
      <c r="G115" s="16" t="s">
        <v>5</v>
      </c>
      <c r="H115" s="16" t="s">
        <v>6</v>
      </c>
      <c r="I115" s="16" t="s">
        <v>7</v>
      </c>
      <c r="J115" s="16" t="s">
        <v>8</v>
      </c>
      <c r="K115" s="16" t="s">
        <v>9</v>
      </c>
      <c r="L115" s="16" t="s">
        <v>10</v>
      </c>
      <c r="M115" s="3" t="s">
        <v>11</v>
      </c>
      <c r="N115" s="3" t="s">
        <v>12</v>
      </c>
      <c r="O115" s="16" t="s">
        <v>150</v>
      </c>
      <c r="P115" s="16" t="s">
        <v>151</v>
      </c>
      <c r="Q115" s="2" t="s">
        <v>345</v>
      </c>
      <c r="R115" s="20"/>
    </row>
    <row r="116" ht="12.75" customHeight="1"/>
    <row r="117" ht="12.75" customHeight="1">
      <c r="A117" s="21" t="s">
        <v>143</v>
      </c>
      <c r="B117" s="21">
        <f>H111+H112+H113</f>
        <v>159</v>
      </c>
      <c r="E117" s="21" t="s">
        <v>144</v>
      </c>
      <c r="F117" s="22">
        <f>E111+E112+E113</f>
        <v>62</v>
      </c>
    </row>
    <row r="118" ht="12.75" customHeight="1"/>
    <row r="119" ht="12.75" customHeight="1">
      <c r="A119" s="5" t="s">
        <v>145</v>
      </c>
      <c r="B119" s="5" t="s">
        <v>4</v>
      </c>
      <c r="Q119" s="2" t="str">
        <f>B119</f>
        <v>Sergio</v>
      </c>
      <c r="R119" s="5" t="s">
        <v>145</v>
      </c>
    </row>
    <row r="120" ht="12.75" customHeight="1"/>
    <row r="121" ht="12.75" customHeight="1">
      <c r="A121" s="2" t="s">
        <v>69</v>
      </c>
      <c r="O121" s="2" t="s">
        <v>310</v>
      </c>
      <c r="R121" s="2" t="s">
        <v>69</v>
      </c>
    </row>
    <row r="122" ht="12.75" customHeight="1">
      <c r="A122" s="2" t="s">
        <v>311</v>
      </c>
      <c r="B122" s="3">
        <f>B106+'2016'!B122</f>
        <v>637.75</v>
      </c>
      <c r="C122" s="3">
        <f>C106+'2016'!C122</f>
        <v>383.5</v>
      </c>
      <c r="D122" s="3">
        <f>D106+'2016'!D122</f>
        <v>338</v>
      </c>
      <c r="E122" s="3">
        <f>E106+'2016'!E122</f>
        <v>490.25</v>
      </c>
      <c r="F122" s="3">
        <f>F106+'2016'!F122</f>
        <v>615.25</v>
      </c>
      <c r="G122" s="3">
        <f>G106+'2016'!G122</f>
        <v>204</v>
      </c>
      <c r="H122" s="3">
        <f>H106+'2016'!H122</f>
        <v>206.25</v>
      </c>
      <c r="I122" s="3">
        <f>I106+'2016'!I122</f>
        <v>279.5</v>
      </c>
      <c r="J122" s="3">
        <f>J106+'2016'!J122</f>
        <v>235</v>
      </c>
      <c r="K122" s="3">
        <f>K106+'2016'!K122</f>
        <v>156</v>
      </c>
      <c r="L122" s="3">
        <f>L106+'2016'!L122</f>
        <v>32</v>
      </c>
      <c r="M122" s="3">
        <f>M106+'2016'!M122</f>
        <v>34</v>
      </c>
      <c r="N122" s="3">
        <f>N106+'2016'!N122</f>
        <v>12</v>
      </c>
      <c r="O122" s="3">
        <f>'2016'!O122+O106+P106</f>
        <v>38.25</v>
      </c>
      <c r="P122" s="2" t="s">
        <v>376</v>
      </c>
      <c r="Q122" s="2">
        <f>Q106+'2016'!Q122</f>
        <v>8</v>
      </c>
      <c r="R122" s="2" t="s">
        <v>311</v>
      </c>
    </row>
    <row r="123" ht="12.75" customHeight="1"/>
    <row r="124" ht="12.75" customHeight="1">
      <c r="A124" s="16" t="s">
        <v>85</v>
      </c>
      <c r="B124" s="16">
        <f>'2015'!B119</f>
        <v>3</v>
      </c>
      <c r="C124" s="16">
        <f>'2015'!C119</f>
        <v>2</v>
      </c>
      <c r="D124" s="16">
        <f>'2015'!D119</f>
        <v>0</v>
      </c>
      <c r="E124" s="16">
        <f>'2015'!E119</f>
        <v>1</v>
      </c>
      <c r="F124" s="16">
        <v>4.0</v>
      </c>
      <c r="G124" s="16">
        <f>'2015'!G119</f>
        <v>0</v>
      </c>
      <c r="H124" s="16">
        <f>'2015'!H119</f>
        <v>0</v>
      </c>
      <c r="I124" s="16">
        <f>'2015'!I119</f>
        <v>0</v>
      </c>
      <c r="J124" s="16">
        <f>'2015'!J119</f>
        <v>0</v>
      </c>
      <c r="K124" s="16">
        <f>'2015'!K119</f>
        <v>0</v>
      </c>
      <c r="L124" s="16">
        <f>'2015'!L119</f>
        <v>0</v>
      </c>
      <c r="M124" s="16">
        <f>'2015'!M119</f>
        <v>0</v>
      </c>
      <c r="N124" s="16">
        <f>'2015'!N119</f>
        <v>0</v>
      </c>
      <c r="O124" s="16">
        <f>'2015'!O119</f>
        <v>0</v>
      </c>
      <c r="P124" s="2" t="s">
        <v>376</v>
      </c>
      <c r="Q124" s="3">
        <v>0.0</v>
      </c>
      <c r="R124" s="16" t="s">
        <v>85</v>
      </c>
    </row>
    <row r="125" ht="12.75" customHeight="1"/>
    <row r="126" ht="12.75" customHeight="1">
      <c r="A126" s="3" t="s">
        <v>365</v>
      </c>
      <c r="C126" s="3">
        <f>'2016'!C126+B109</f>
        <v>456</v>
      </c>
    </row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00:Q107">
    <cfRule type="cellIs" dxfId="0" priority="1" stopIfTrue="1" operator="equal">
      <formula>"PLATA"</formula>
    </cfRule>
  </conditionalFormatting>
  <conditionalFormatting sqref="B100:Q107">
    <cfRule type="cellIs" dxfId="1" priority="2" stopIfTrue="1" operator="equal">
      <formula>"ORO"</formula>
    </cfRule>
  </conditionalFormatting>
  <conditionalFormatting sqref="B100:Q107">
    <cfRule type="cellIs" dxfId="2" priority="3" stopIfTrue="1" operator="equal">
      <formula>"BRONCE"</formula>
    </cfRule>
  </conditionalFormatting>
  <conditionalFormatting sqref="N111:N114">
    <cfRule type="cellIs" dxfId="0" priority="4" stopIfTrue="1" operator="equal">
      <formula>"PLATA"</formula>
    </cfRule>
  </conditionalFormatting>
  <conditionalFormatting sqref="N111:N114">
    <cfRule type="cellIs" dxfId="1" priority="5" stopIfTrue="1" operator="equal">
      <formula>"ORO"</formula>
    </cfRule>
  </conditionalFormatting>
  <conditionalFormatting sqref="N111:N114">
    <cfRule type="cellIs" dxfId="2" priority="6" stopIfTrue="1" operator="equal">
      <formula>"BRONCE"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8" width="10.75"/>
    <col customWidth="1" min="19" max="26" width="14.38"/>
  </cols>
  <sheetData>
    <row r="1" ht="12.75" customHeight="1">
      <c r="A1" s="24">
        <v>2018.0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150</v>
      </c>
      <c r="P1" s="16" t="s">
        <v>151</v>
      </c>
      <c r="Q1" s="2" t="s">
        <v>345</v>
      </c>
      <c r="R1" s="24">
        <f t="shared" ref="R1:R73" si="1">A1</f>
        <v>2018</v>
      </c>
    </row>
    <row r="2" ht="12.75" customHeight="1">
      <c r="A2" s="2">
        <v>-1.0</v>
      </c>
      <c r="B2" s="2" t="s">
        <v>90</v>
      </c>
      <c r="C2" s="2" t="s">
        <v>89</v>
      </c>
      <c r="D2" s="2" t="s">
        <v>90</v>
      </c>
      <c r="E2" s="2" t="s">
        <v>17</v>
      </c>
      <c r="F2" s="2" t="s">
        <v>16</v>
      </c>
      <c r="G2" s="2" t="s">
        <v>90</v>
      </c>
      <c r="H2" s="2" t="s">
        <v>15</v>
      </c>
      <c r="I2" s="2" t="s">
        <v>90</v>
      </c>
      <c r="J2" s="2" t="s">
        <v>90</v>
      </c>
      <c r="K2" s="2" t="s">
        <v>90</v>
      </c>
      <c r="L2" s="2" t="s">
        <v>90</v>
      </c>
      <c r="M2" s="2" t="s">
        <v>90</v>
      </c>
      <c r="N2" s="2" t="s">
        <v>90</v>
      </c>
      <c r="O2" s="2" t="s">
        <v>90</v>
      </c>
      <c r="P2" s="2" t="s">
        <v>90</v>
      </c>
      <c r="Q2" s="2" t="s">
        <v>89</v>
      </c>
      <c r="R2" s="2">
        <f t="shared" si="1"/>
        <v>-1</v>
      </c>
    </row>
    <row r="3" ht="12.75" customHeight="1">
      <c r="A3" s="2" t="s">
        <v>18</v>
      </c>
      <c r="B3" s="2" t="s">
        <v>16</v>
      </c>
      <c r="C3" s="2" t="s">
        <v>16</v>
      </c>
      <c r="D3" s="2" t="s">
        <v>90</v>
      </c>
      <c r="E3" s="2" t="s">
        <v>15</v>
      </c>
      <c r="F3" s="2" t="s">
        <v>15</v>
      </c>
      <c r="G3" s="2" t="s">
        <v>90</v>
      </c>
      <c r="H3" s="2" t="s">
        <v>90</v>
      </c>
      <c r="I3" s="2" t="s">
        <v>16</v>
      </c>
      <c r="J3" s="2" t="s">
        <v>15</v>
      </c>
      <c r="K3" s="2" t="s">
        <v>90</v>
      </c>
      <c r="L3" s="2" t="s">
        <v>90</v>
      </c>
      <c r="M3" s="2" t="s">
        <v>90</v>
      </c>
      <c r="N3" s="2" t="s">
        <v>90</v>
      </c>
      <c r="O3" s="2" t="s">
        <v>90</v>
      </c>
      <c r="P3" s="2" t="s">
        <v>90</v>
      </c>
      <c r="Q3" s="2" t="s">
        <v>90</v>
      </c>
      <c r="R3" s="2" t="str">
        <f t="shared" si="1"/>
        <v>Fútbol</v>
      </c>
    </row>
    <row r="4" ht="12.75" customHeight="1">
      <c r="A4" s="2" t="s">
        <v>33</v>
      </c>
      <c r="B4" s="2" t="s">
        <v>89</v>
      </c>
      <c r="C4" s="2" t="s">
        <v>89</v>
      </c>
      <c r="D4" s="2" t="s">
        <v>90</v>
      </c>
      <c r="E4" s="2" t="s">
        <v>89</v>
      </c>
      <c r="F4" s="2" t="s">
        <v>16</v>
      </c>
      <c r="G4" s="2" t="s">
        <v>89</v>
      </c>
      <c r="H4" s="2" t="s">
        <v>17</v>
      </c>
      <c r="I4" s="2" t="s">
        <v>15</v>
      </c>
      <c r="J4" s="2" t="s">
        <v>89</v>
      </c>
      <c r="K4" s="2" t="s">
        <v>90</v>
      </c>
      <c r="L4" s="2" t="s">
        <v>90</v>
      </c>
      <c r="M4" s="2" t="s">
        <v>90</v>
      </c>
      <c r="N4" s="2" t="s">
        <v>90</v>
      </c>
      <c r="O4" s="2" t="s">
        <v>90</v>
      </c>
      <c r="P4" s="2" t="s">
        <v>90</v>
      </c>
      <c r="Q4" s="2" t="s">
        <v>89</v>
      </c>
      <c r="R4" s="2" t="str">
        <f t="shared" si="1"/>
        <v>Burro</v>
      </c>
    </row>
    <row r="5" ht="12.75" customHeight="1">
      <c r="A5" s="2" t="s">
        <v>39</v>
      </c>
      <c r="B5" s="2" t="s">
        <v>15</v>
      </c>
      <c r="C5" s="2" t="s">
        <v>16</v>
      </c>
      <c r="D5" s="2" t="s">
        <v>90</v>
      </c>
      <c r="E5" s="2" t="s">
        <v>15</v>
      </c>
      <c r="F5" s="2" t="s">
        <v>16</v>
      </c>
      <c r="G5" s="2" t="s">
        <v>15</v>
      </c>
      <c r="H5" s="2" t="s">
        <v>15</v>
      </c>
      <c r="I5" s="2" t="s">
        <v>16</v>
      </c>
      <c r="J5" s="2" t="s">
        <v>15</v>
      </c>
      <c r="K5" s="2" t="s">
        <v>90</v>
      </c>
      <c r="L5" s="2" t="s">
        <v>90</v>
      </c>
      <c r="M5" s="2" t="s">
        <v>90</v>
      </c>
      <c r="N5" s="2" t="s">
        <v>90</v>
      </c>
      <c r="O5" s="2" t="s">
        <v>90</v>
      </c>
      <c r="P5" s="2" t="s">
        <v>90</v>
      </c>
      <c r="Q5" s="2" t="s">
        <v>16</v>
      </c>
      <c r="R5" s="2" t="str">
        <f t="shared" si="1"/>
        <v>Pañuelo</v>
      </c>
    </row>
    <row r="6" ht="12.75" customHeight="1">
      <c r="A6" s="2" t="s">
        <v>267</v>
      </c>
      <c r="B6" s="2" t="s">
        <v>16</v>
      </c>
      <c r="C6" s="2" t="s">
        <v>15</v>
      </c>
      <c r="D6" s="2" t="s">
        <v>90</v>
      </c>
      <c r="E6" s="2" t="s">
        <v>16</v>
      </c>
      <c r="F6" s="2" t="s">
        <v>15</v>
      </c>
      <c r="G6" s="2" t="s">
        <v>16</v>
      </c>
      <c r="H6" s="2" t="s">
        <v>16</v>
      </c>
      <c r="I6" s="2" t="s">
        <v>15</v>
      </c>
      <c r="J6" s="2" t="s">
        <v>15</v>
      </c>
      <c r="K6" s="2" t="s">
        <v>90</v>
      </c>
      <c r="L6" s="2" t="s">
        <v>90</v>
      </c>
      <c r="M6" s="2" t="s">
        <v>90</v>
      </c>
      <c r="N6" s="2" t="s">
        <v>90</v>
      </c>
      <c r="O6" s="2" t="s">
        <v>90</v>
      </c>
      <c r="P6" s="2" t="s">
        <v>90</v>
      </c>
      <c r="Q6" s="2" t="s">
        <v>15</v>
      </c>
      <c r="R6" s="2" t="str">
        <f t="shared" si="1"/>
        <v>Quema</v>
      </c>
    </row>
    <row r="7" ht="12.75" customHeight="1">
      <c r="A7" s="2">
        <v>-1.0</v>
      </c>
      <c r="B7" s="2" t="s">
        <v>16</v>
      </c>
      <c r="C7" s="2" t="s">
        <v>89</v>
      </c>
      <c r="D7" s="2" t="s">
        <v>90</v>
      </c>
      <c r="E7" s="2" t="s">
        <v>89</v>
      </c>
      <c r="F7" s="2" t="s">
        <v>17</v>
      </c>
      <c r="G7" s="2" t="s">
        <v>90</v>
      </c>
      <c r="H7" s="2" t="s">
        <v>89</v>
      </c>
      <c r="I7" s="2" t="s">
        <v>15</v>
      </c>
      <c r="J7" s="2" t="s">
        <v>89</v>
      </c>
      <c r="K7" s="2" t="s">
        <v>90</v>
      </c>
      <c r="L7" s="2" t="s">
        <v>90</v>
      </c>
      <c r="M7" s="2" t="s">
        <v>90</v>
      </c>
      <c r="N7" s="2" t="s">
        <v>90</v>
      </c>
      <c r="O7" s="2" t="s">
        <v>90</v>
      </c>
      <c r="P7" s="2" t="s">
        <v>90</v>
      </c>
      <c r="Q7" s="2" t="s">
        <v>90</v>
      </c>
      <c r="R7" s="2">
        <f t="shared" si="1"/>
        <v>-1</v>
      </c>
    </row>
    <row r="8" ht="12.75" customHeight="1">
      <c r="A8" s="3" t="s">
        <v>377</v>
      </c>
      <c r="B8" s="2" t="s">
        <v>89</v>
      </c>
      <c r="C8" s="2" t="s">
        <v>89</v>
      </c>
      <c r="D8" s="2" t="s">
        <v>90</v>
      </c>
      <c r="E8" s="2" t="s">
        <v>89</v>
      </c>
      <c r="F8" s="2" t="s">
        <v>89</v>
      </c>
      <c r="G8" s="2" t="s">
        <v>89</v>
      </c>
      <c r="H8" s="2" t="s">
        <v>16</v>
      </c>
      <c r="I8" s="2" t="s">
        <v>89</v>
      </c>
      <c r="J8" s="2" t="s">
        <v>89</v>
      </c>
      <c r="K8" s="2" t="s">
        <v>90</v>
      </c>
      <c r="L8" s="2" t="s">
        <v>90</v>
      </c>
      <c r="M8" s="2" t="s">
        <v>90</v>
      </c>
      <c r="N8" s="2" t="s">
        <v>90</v>
      </c>
      <c r="O8" s="2" t="s">
        <v>90</v>
      </c>
      <c r="P8" s="2" t="s">
        <v>90</v>
      </c>
      <c r="Q8" s="2" t="s">
        <v>89</v>
      </c>
      <c r="R8" s="2" t="str">
        <f t="shared" si="1"/>
        <v>Pueblo</v>
      </c>
    </row>
    <row r="9" ht="12.75" customHeight="1">
      <c r="A9" s="3" t="s">
        <v>196</v>
      </c>
      <c r="B9" s="2" t="s">
        <v>89</v>
      </c>
      <c r="C9" s="2" t="s">
        <v>15</v>
      </c>
      <c r="D9" s="2" t="s">
        <v>90</v>
      </c>
      <c r="E9" s="2" t="s">
        <v>15</v>
      </c>
      <c r="F9" s="2" t="s">
        <v>16</v>
      </c>
      <c r="G9" s="2" t="s">
        <v>90</v>
      </c>
      <c r="H9" s="2" t="s">
        <v>90</v>
      </c>
      <c r="I9" s="2" t="s">
        <v>90</v>
      </c>
      <c r="J9" s="2" t="s">
        <v>15</v>
      </c>
      <c r="K9" s="2" t="s">
        <v>90</v>
      </c>
      <c r="L9" s="2" t="s">
        <v>90</v>
      </c>
      <c r="M9" s="2" t="s">
        <v>90</v>
      </c>
      <c r="N9" s="2" t="s">
        <v>90</v>
      </c>
      <c r="O9" s="2" t="s">
        <v>90</v>
      </c>
      <c r="P9" s="2" t="s">
        <v>90</v>
      </c>
      <c r="Q9" s="2" t="s">
        <v>90</v>
      </c>
      <c r="R9" s="2" t="str">
        <f t="shared" si="1"/>
        <v>Call of Duty</v>
      </c>
    </row>
    <row r="10" ht="12.75" customHeight="1">
      <c r="A10" s="3" t="s">
        <v>92</v>
      </c>
      <c r="B10" s="2" t="s">
        <v>89</v>
      </c>
      <c r="C10" s="2" t="s">
        <v>90</v>
      </c>
      <c r="D10" s="2" t="s">
        <v>90</v>
      </c>
      <c r="E10" s="2" t="s">
        <v>16</v>
      </c>
      <c r="F10" s="2" t="s">
        <v>15</v>
      </c>
      <c r="G10" s="2" t="s">
        <v>90</v>
      </c>
      <c r="H10" s="2" t="s">
        <v>17</v>
      </c>
      <c r="I10" s="2" t="s">
        <v>90</v>
      </c>
      <c r="J10" s="2" t="s">
        <v>89</v>
      </c>
      <c r="K10" s="2" t="s">
        <v>90</v>
      </c>
      <c r="L10" s="2" t="s">
        <v>90</v>
      </c>
      <c r="M10" s="2" t="s">
        <v>90</v>
      </c>
      <c r="N10" s="2" t="s">
        <v>90</v>
      </c>
      <c r="O10" s="2" t="s">
        <v>90</v>
      </c>
      <c r="P10" s="2" t="s">
        <v>90</v>
      </c>
      <c r="Q10" s="2" t="s">
        <v>90</v>
      </c>
      <c r="R10" s="2" t="str">
        <f t="shared" si="1"/>
        <v>Mario Kart</v>
      </c>
    </row>
    <row r="11" ht="12.75" customHeight="1">
      <c r="A11" s="3" t="s">
        <v>266</v>
      </c>
      <c r="B11" s="2" t="s">
        <v>89</v>
      </c>
      <c r="C11" s="2" t="s">
        <v>16</v>
      </c>
      <c r="D11" s="2" t="s">
        <v>90</v>
      </c>
      <c r="E11" s="2" t="s">
        <v>16</v>
      </c>
      <c r="F11" s="2" t="s">
        <v>89</v>
      </c>
      <c r="G11" s="2" t="s">
        <v>90</v>
      </c>
      <c r="H11" s="2" t="s">
        <v>89</v>
      </c>
      <c r="I11" s="2" t="s">
        <v>16</v>
      </c>
      <c r="J11" s="2" t="s">
        <v>16</v>
      </c>
      <c r="K11" s="2" t="s">
        <v>90</v>
      </c>
      <c r="L11" s="2" t="s">
        <v>90</v>
      </c>
      <c r="M11" s="2" t="s">
        <v>90</v>
      </c>
      <c r="N11" s="2" t="s">
        <v>90</v>
      </c>
      <c r="O11" s="2" t="s">
        <v>90</v>
      </c>
      <c r="P11" s="2" t="s">
        <v>90</v>
      </c>
      <c r="Q11" s="2" t="s">
        <v>16</v>
      </c>
      <c r="R11" s="2" t="str">
        <f t="shared" si="1"/>
        <v>Interferencias</v>
      </c>
    </row>
    <row r="12" ht="12.75" customHeight="1">
      <c r="A12" s="3" t="s">
        <v>23</v>
      </c>
      <c r="B12" s="2" t="s">
        <v>16</v>
      </c>
      <c r="C12" s="2" t="s">
        <v>89</v>
      </c>
      <c r="D12" s="2" t="s">
        <v>90</v>
      </c>
      <c r="E12" s="2" t="s">
        <v>17</v>
      </c>
      <c r="F12" s="2" t="s">
        <v>89</v>
      </c>
      <c r="G12" s="2" t="s">
        <v>89</v>
      </c>
      <c r="H12" s="2" t="s">
        <v>89</v>
      </c>
      <c r="I12" s="2" t="s">
        <v>15</v>
      </c>
      <c r="J12" s="2" t="s">
        <v>89</v>
      </c>
      <c r="K12" s="2" t="s">
        <v>90</v>
      </c>
      <c r="L12" s="2" t="s">
        <v>90</v>
      </c>
      <c r="M12" s="2" t="s">
        <v>90</v>
      </c>
      <c r="N12" s="2" t="s">
        <v>90</v>
      </c>
      <c r="O12" s="2" t="s">
        <v>90</v>
      </c>
      <c r="P12" s="2" t="s">
        <v>90</v>
      </c>
      <c r="Q12" s="2" t="s">
        <v>89</v>
      </c>
      <c r="R12" s="2" t="str">
        <f t="shared" si="1"/>
        <v>Frontón</v>
      </c>
    </row>
    <row r="13" ht="12.75" customHeight="1">
      <c r="A13" s="3" t="s">
        <v>23</v>
      </c>
      <c r="B13" s="2" t="s">
        <v>16</v>
      </c>
      <c r="C13" s="2" t="s">
        <v>89</v>
      </c>
      <c r="D13" s="2" t="s">
        <v>90</v>
      </c>
      <c r="E13" s="2" t="s">
        <v>89</v>
      </c>
      <c r="F13" s="2" t="s">
        <v>17</v>
      </c>
      <c r="G13" s="2" t="s">
        <v>15</v>
      </c>
      <c r="H13" s="2" t="s">
        <v>89</v>
      </c>
      <c r="I13" s="2" t="s">
        <v>89</v>
      </c>
      <c r="J13" s="2" t="s">
        <v>89</v>
      </c>
      <c r="K13" s="2" t="s">
        <v>90</v>
      </c>
      <c r="L13" s="2" t="s">
        <v>90</v>
      </c>
      <c r="M13" s="2" t="s">
        <v>90</v>
      </c>
      <c r="N13" s="2" t="s">
        <v>90</v>
      </c>
      <c r="O13" s="2" t="s">
        <v>90</v>
      </c>
      <c r="P13" s="2" t="s">
        <v>90</v>
      </c>
      <c r="Q13" s="2" t="s">
        <v>89</v>
      </c>
      <c r="R13" s="2" t="str">
        <f t="shared" si="1"/>
        <v>Frontón</v>
      </c>
    </row>
    <row r="14" ht="12.75" customHeight="1">
      <c r="A14" s="3" t="s">
        <v>378</v>
      </c>
      <c r="B14" s="2" t="s">
        <v>90</v>
      </c>
      <c r="C14" s="2" t="s">
        <v>90</v>
      </c>
      <c r="D14" s="2" t="s">
        <v>90</v>
      </c>
      <c r="E14" s="2" t="s">
        <v>16</v>
      </c>
      <c r="F14" s="2" t="s">
        <v>15</v>
      </c>
      <c r="G14" s="2" t="s">
        <v>89</v>
      </c>
      <c r="H14" s="2" t="s">
        <v>90</v>
      </c>
      <c r="I14" s="2" t="s">
        <v>17</v>
      </c>
      <c r="J14" s="2" t="s">
        <v>90</v>
      </c>
      <c r="K14" s="2" t="s">
        <v>90</v>
      </c>
      <c r="L14" s="2" t="s">
        <v>90</v>
      </c>
      <c r="M14" s="2" t="s">
        <v>90</v>
      </c>
      <c r="N14" s="2" t="s">
        <v>90</v>
      </c>
      <c r="O14" s="2" t="s">
        <v>90</v>
      </c>
      <c r="P14" s="2" t="s">
        <v>90</v>
      </c>
      <c r="Q14" s="2" t="s">
        <v>90</v>
      </c>
      <c r="R14" s="2" t="str">
        <f t="shared" si="1"/>
        <v>Dominadas</v>
      </c>
    </row>
    <row r="15" ht="12.75" customHeight="1">
      <c r="A15" s="3" t="s">
        <v>379</v>
      </c>
      <c r="B15" s="2" t="s">
        <v>16</v>
      </c>
      <c r="C15" s="2" t="s">
        <v>15</v>
      </c>
      <c r="D15" s="2" t="s">
        <v>90</v>
      </c>
      <c r="E15" s="2" t="s">
        <v>16</v>
      </c>
      <c r="F15" s="2" t="s">
        <v>16</v>
      </c>
      <c r="G15" s="2" t="s">
        <v>90</v>
      </c>
      <c r="H15" s="2" t="s">
        <v>15</v>
      </c>
      <c r="I15" s="2" t="s">
        <v>15</v>
      </c>
      <c r="J15" s="2" t="s">
        <v>16</v>
      </c>
      <c r="K15" s="2" t="s">
        <v>90</v>
      </c>
      <c r="L15" s="2" t="s">
        <v>90</v>
      </c>
      <c r="M15" s="2" t="s">
        <v>90</v>
      </c>
      <c r="N15" s="2" t="s">
        <v>90</v>
      </c>
      <c r="O15" s="2" t="s">
        <v>90</v>
      </c>
      <c r="P15" s="2" t="s">
        <v>90</v>
      </c>
      <c r="Q15" s="2" t="s">
        <v>15</v>
      </c>
      <c r="R15" s="2" t="str">
        <f t="shared" si="1"/>
        <v>Código secreto</v>
      </c>
    </row>
    <row r="16" ht="12.75" customHeight="1">
      <c r="A16" s="3" t="s">
        <v>380</v>
      </c>
      <c r="B16" s="2" t="s">
        <v>17</v>
      </c>
      <c r="C16" s="2" t="s">
        <v>15</v>
      </c>
      <c r="D16" s="2" t="s">
        <v>90</v>
      </c>
      <c r="E16" s="2" t="s">
        <v>89</v>
      </c>
      <c r="F16" s="2" t="s">
        <v>89</v>
      </c>
      <c r="G16" s="2" t="s">
        <v>90</v>
      </c>
      <c r="H16" s="2" t="s">
        <v>89</v>
      </c>
      <c r="I16" s="2" t="s">
        <v>89</v>
      </c>
      <c r="J16" s="2" t="s">
        <v>16</v>
      </c>
      <c r="K16" s="2" t="s">
        <v>90</v>
      </c>
      <c r="L16" s="2" t="s">
        <v>90</v>
      </c>
      <c r="M16" s="2" t="s">
        <v>90</v>
      </c>
      <c r="N16" s="2" t="s">
        <v>90</v>
      </c>
      <c r="O16" s="2" t="s">
        <v>90</v>
      </c>
      <c r="P16" s="2" t="s">
        <v>90</v>
      </c>
      <c r="Q16" s="2" t="s">
        <v>90</v>
      </c>
      <c r="R16" s="2" t="str">
        <f t="shared" si="1"/>
        <v>Saltarin (videojuego)</v>
      </c>
    </row>
    <row r="17" ht="12.75" customHeight="1">
      <c r="A17" s="3" t="s">
        <v>211</v>
      </c>
      <c r="B17" s="2" t="s">
        <v>89</v>
      </c>
      <c r="C17" s="2" t="s">
        <v>89</v>
      </c>
      <c r="D17" s="2" t="s">
        <v>90</v>
      </c>
      <c r="E17" s="2" t="s">
        <v>15</v>
      </c>
      <c r="F17" s="2" t="s">
        <v>89</v>
      </c>
      <c r="G17" s="2" t="s">
        <v>89</v>
      </c>
      <c r="H17" s="2" t="s">
        <v>17</v>
      </c>
      <c r="I17" s="2" t="s">
        <v>89</v>
      </c>
      <c r="J17" s="2" t="s">
        <v>16</v>
      </c>
      <c r="K17" s="2" t="s">
        <v>90</v>
      </c>
      <c r="L17" s="2" t="s">
        <v>90</v>
      </c>
      <c r="M17" s="2" t="s">
        <v>90</v>
      </c>
      <c r="N17" s="2" t="s">
        <v>90</v>
      </c>
      <c r="O17" s="2" t="s">
        <v>90</v>
      </c>
      <c r="P17" s="2" t="s">
        <v>90</v>
      </c>
      <c r="Q17" s="2" t="s">
        <v>89</v>
      </c>
      <c r="R17" s="2" t="str">
        <f t="shared" si="1"/>
        <v>Gymkana</v>
      </c>
    </row>
    <row r="18" ht="12.75" customHeight="1">
      <c r="A18" s="3" t="s">
        <v>381</v>
      </c>
      <c r="B18" s="2" t="s">
        <v>89</v>
      </c>
      <c r="C18" s="2" t="s">
        <v>89</v>
      </c>
      <c r="D18" s="2" t="s">
        <v>90</v>
      </c>
      <c r="E18" s="2" t="s">
        <v>15</v>
      </c>
      <c r="F18" s="2" t="s">
        <v>17</v>
      </c>
      <c r="G18" s="2" t="s">
        <v>89</v>
      </c>
      <c r="H18" s="2" t="s">
        <v>16</v>
      </c>
      <c r="I18" s="2" t="s">
        <v>89</v>
      </c>
      <c r="J18" s="2" t="s">
        <v>89</v>
      </c>
      <c r="K18" s="2" t="s">
        <v>90</v>
      </c>
      <c r="L18" s="2" t="s">
        <v>90</v>
      </c>
      <c r="M18" s="2" t="s">
        <v>90</v>
      </c>
      <c r="N18" s="2" t="s">
        <v>90</v>
      </c>
      <c r="O18" s="2" t="s">
        <v>90</v>
      </c>
      <c r="P18" s="2" t="s">
        <v>90</v>
      </c>
      <c r="Q18" s="2" t="s">
        <v>89</v>
      </c>
      <c r="R18" s="2" t="str">
        <f t="shared" si="1"/>
        <v>Lanzar pelota tenis</v>
      </c>
    </row>
    <row r="19" ht="12.75" customHeight="1">
      <c r="A19" s="3" t="s">
        <v>382</v>
      </c>
      <c r="B19" s="2" t="s">
        <v>17</v>
      </c>
      <c r="C19" s="2" t="s">
        <v>89</v>
      </c>
      <c r="D19" s="2" t="s">
        <v>90</v>
      </c>
      <c r="E19" s="2" t="s">
        <v>16</v>
      </c>
      <c r="F19" s="2" t="s">
        <v>89</v>
      </c>
      <c r="G19" s="2" t="s">
        <v>15</v>
      </c>
      <c r="H19" s="2" t="s">
        <v>89</v>
      </c>
      <c r="I19" s="2" t="s">
        <v>89</v>
      </c>
      <c r="J19" s="2" t="s">
        <v>89</v>
      </c>
      <c r="K19" s="2" t="s">
        <v>90</v>
      </c>
      <c r="L19" s="2" t="s">
        <v>90</v>
      </c>
      <c r="M19" s="2" t="s">
        <v>90</v>
      </c>
      <c r="N19" s="2" t="s">
        <v>90</v>
      </c>
      <c r="O19" s="2" t="s">
        <v>90</v>
      </c>
      <c r="P19" s="2" t="s">
        <v>90</v>
      </c>
      <c r="Q19" s="2" t="s">
        <v>15</v>
      </c>
      <c r="R19" s="2" t="str">
        <f t="shared" si="1"/>
        <v>Lanzar botella</v>
      </c>
    </row>
    <row r="20" ht="12.75" customHeight="1">
      <c r="A20" s="3" t="s">
        <v>383</v>
      </c>
      <c r="B20" s="2" t="s">
        <v>17</v>
      </c>
      <c r="C20" s="2" t="s">
        <v>89</v>
      </c>
      <c r="D20" s="2" t="s">
        <v>90</v>
      </c>
      <c r="E20" s="2" t="s">
        <v>89</v>
      </c>
      <c r="F20" s="2" t="s">
        <v>15</v>
      </c>
      <c r="G20" s="2" t="s">
        <v>89</v>
      </c>
      <c r="H20" s="2" t="s">
        <v>89</v>
      </c>
      <c r="I20" s="2" t="s">
        <v>89</v>
      </c>
      <c r="J20" s="2" t="s">
        <v>89</v>
      </c>
      <c r="K20" s="2" t="s">
        <v>90</v>
      </c>
      <c r="L20" s="2" t="s">
        <v>90</v>
      </c>
      <c r="M20" s="2" t="s">
        <v>90</v>
      </c>
      <c r="N20" s="2" t="s">
        <v>90</v>
      </c>
      <c r="O20" s="2" t="s">
        <v>90</v>
      </c>
      <c r="P20" s="2" t="s">
        <v>90</v>
      </c>
      <c r="Q20" s="2" t="s">
        <v>89</v>
      </c>
      <c r="R20" s="2" t="str">
        <f t="shared" si="1"/>
        <v>Lanzar dardos</v>
      </c>
    </row>
    <row r="21" ht="12.75" customHeight="1">
      <c r="A21" s="3" t="s">
        <v>384</v>
      </c>
      <c r="B21" s="2" t="s">
        <v>17</v>
      </c>
      <c r="C21" s="2" t="s">
        <v>89</v>
      </c>
      <c r="D21" s="2" t="s">
        <v>90</v>
      </c>
      <c r="E21" s="2" t="s">
        <v>16</v>
      </c>
      <c r="F21" s="2" t="s">
        <v>15</v>
      </c>
      <c r="G21" s="2" t="s">
        <v>89</v>
      </c>
      <c r="H21" s="2" t="s">
        <v>89</v>
      </c>
      <c r="I21" s="2" t="s">
        <v>89</v>
      </c>
      <c r="J21" s="2" t="s">
        <v>89</v>
      </c>
      <c r="K21" s="2" t="s">
        <v>90</v>
      </c>
      <c r="L21" s="2" t="s">
        <v>90</v>
      </c>
      <c r="M21" s="2" t="s">
        <v>90</v>
      </c>
      <c r="N21" s="2" t="s">
        <v>90</v>
      </c>
      <c r="O21" s="2" t="s">
        <v>90</v>
      </c>
      <c r="P21" s="2" t="s">
        <v>90</v>
      </c>
      <c r="Q21" s="2" t="s">
        <v>89</v>
      </c>
      <c r="R21" s="2" t="str">
        <f t="shared" si="1"/>
        <v>Sprint</v>
      </c>
    </row>
    <row r="22" ht="12.75" customHeight="1">
      <c r="A22" s="3" t="s">
        <v>385</v>
      </c>
      <c r="B22" s="2" t="s">
        <v>89</v>
      </c>
      <c r="C22" s="2" t="s">
        <v>89</v>
      </c>
      <c r="D22" s="2" t="s">
        <v>90</v>
      </c>
      <c r="E22" s="2" t="s">
        <v>89</v>
      </c>
      <c r="F22" s="2" t="s">
        <v>15</v>
      </c>
      <c r="G22" s="2" t="s">
        <v>17</v>
      </c>
      <c r="H22" s="2" t="s">
        <v>16</v>
      </c>
      <c r="I22" s="2" t="s">
        <v>89</v>
      </c>
      <c r="J22" s="2" t="s">
        <v>89</v>
      </c>
      <c r="K22" s="2" t="s">
        <v>90</v>
      </c>
      <c r="L22" s="2" t="s">
        <v>90</v>
      </c>
      <c r="M22" s="2" t="s">
        <v>90</v>
      </c>
      <c r="N22" s="2" t="s">
        <v>90</v>
      </c>
      <c r="O22" s="2" t="s">
        <v>90</v>
      </c>
      <c r="P22" s="2" t="s">
        <v>90</v>
      </c>
      <c r="Q22" s="2" t="s">
        <v>17</v>
      </c>
      <c r="R22" s="2" t="str">
        <f t="shared" si="1"/>
        <v>Flexibilidad</v>
      </c>
    </row>
    <row r="23" ht="12.75" customHeight="1">
      <c r="A23" s="3" t="s">
        <v>386</v>
      </c>
      <c r="B23" s="2" t="s">
        <v>89</v>
      </c>
      <c r="C23" s="2" t="s">
        <v>89</v>
      </c>
      <c r="D23" s="2" t="s">
        <v>90</v>
      </c>
      <c r="E23" s="2" t="s">
        <v>16</v>
      </c>
      <c r="F23" s="2" t="s">
        <v>17</v>
      </c>
      <c r="G23" s="2" t="s">
        <v>15</v>
      </c>
      <c r="H23" s="2" t="s">
        <v>89</v>
      </c>
      <c r="I23" s="2" t="s">
        <v>89</v>
      </c>
      <c r="J23" s="2" t="s">
        <v>89</v>
      </c>
      <c r="K23" s="2" t="s">
        <v>90</v>
      </c>
      <c r="L23" s="2" t="s">
        <v>90</v>
      </c>
      <c r="M23" s="2" t="s">
        <v>90</v>
      </c>
      <c r="N23" s="2" t="s">
        <v>90</v>
      </c>
      <c r="O23" s="2" t="s">
        <v>90</v>
      </c>
      <c r="P23" s="2" t="s">
        <v>90</v>
      </c>
      <c r="Q23" s="2" t="s">
        <v>15</v>
      </c>
      <c r="R23" s="2" t="str">
        <f t="shared" si="1"/>
        <v>Pulsos</v>
      </c>
    </row>
    <row r="24" ht="12.75" customHeight="1">
      <c r="A24" s="3" t="s">
        <v>201</v>
      </c>
      <c r="B24" s="2" t="s">
        <v>15</v>
      </c>
      <c r="C24" s="2" t="s">
        <v>17</v>
      </c>
      <c r="D24" s="2" t="s">
        <v>90</v>
      </c>
      <c r="E24" s="2" t="s">
        <v>89</v>
      </c>
      <c r="F24" s="2" t="s">
        <v>16</v>
      </c>
      <c r="G24" s="2" t="s">
        <v>17</v>
      </c>
      <c r="H24" s="2" t="s">
        <v>90</v>
      </c>
      <c r="I24" s="2" t="s">
        <v>17</v>
      </c>
      <c r="J24" s="2" t="s">
        <v>17</v>
      </c>
      <c r="K24" s="2" t="s">
        <v>90</v>
      </c>
      <c r="L24" s="2" t="s">
        <v>90</v>
      </c>
      <c r="M24" s="2" t="s">
        <v>90</v>
      </c>
      <c r="N24" s="2" t="s">
        <v>90</v>
      </c>
      <c r="O24" s="2" t="s">
        <v>90</v>
      </c>
      <c r="P24" s="2" t="s">
        <v>90</v>
      </c>
      <c r="Q24" s="2" t="s">
        <v>90</v>
      </c>
      <c r="R24" s="2" t="str">
        <f t="shared" si="1"/>
        <v>Badminton</v>
      </c>
    </row>
    <row r="25" ht="12.75" customHeight="1">
      <c r="A25" s="3" t="s">
        <v>387</v>
      </c>
      <c r="B25" s="2" t="s">
        <v>16</v>
      </c>
      <c r="C25" s="2" t="s">
        <v>89</v>
      </c>
      <c r="D25" s="2" t="s">
        <v>90</v>
      </c>
      <c r="E25" s="2" t="s">
        <v>89</v>
      </c>
      <c r="F25" s="2" t="s">
        <v>89</v>
      </c>
      <c r="G25" s="2" t="s">
        <v>89</v>
      </c>
      <c r="H25" s="2" t="s">
        <v>16</v>
      </c>
      <c r="I25" s="2" t="s">
        <v>89</v>
      </c>
      <c r="J25" s="2" t="s">
        <v>89</v>
      </c>
      <c r="K25" s="2" t="s">
        <v>90</v>
      </c>
      <c r="L25" s="2" t="s">
        <v>90</v>
      </c>
      <c r="M25" s="2" t="s">
        <v>90</v>
      </c>
      <c r="N25" s="2" t="s">
        <v>90</v>
      </c>
      <c r="O25" s="2" t="s">
        <v>90</v>
      </c>
      <c r="P25" s="2" t="s">
        <v>90</v>
      </c>
      <c r="Q25" s="2" t="s">
        <v>89</v>
      </c>
      <c r="R25" s="2" t="str">
        <f t="shared" si="1"/>
        <v>Porra Colombia-ENG</v>
      </c>
    </row>
    <row r="26" ht="12.75" customHeight="1">
      <c r="A26" s="3" t="s">
        <v>91</v>
      </c>
      <c r="B26" s="2" t="s">
        <v>15</v>
      </c>
      <c r="C26" s="2" t="s">
        <v>89</v>
      </c>
      <c r="D26" s="2" t="s">
        <v>90</v>
      </c>
      <c r="E26" s="2" t="s">
        <v>89</v>
      </c>
      <c r="F26" s="2" t="s">
        <v>17</v>
      </c>
      <c r="G26" s="2" t="s">
        <v>90</v>
      </c>
      <c r="H26" s="2" t="s">
        <v>89</v>
      </c>
      <c r="I26" s="2" t="s">
        <v>16</v>
      </c>
      <c r="J26" s="2" t="s">
        <v>89</v>
      </c>
      <c r="K26" s="2" t="s">
        <v>90</v>
      </c>
      <c r="L26" s="2" t="s">
        <v>90</v>
      </c>
      <c r="M26" s="2" t="s">
        <v>90</v>
      </c>
      <c r="N26" s="2" t="s">
        <v>90</v>
      </c>
      <c r="O26" s="2" t="s">
        <v>90</v>
      </c>
      <c r="P26" s="2" t="s">
        <v>90</v>
      </c>
      <c r="Q26" s="2" t="s">
        <v>90</v>
      </c>
      <c r="R26" s="2" t="str">
        <f t="shared" si="1"/>
        <v>Catán</v>
      </c>
    </row>
    <row r="27" ht="12.75" customHeight="1">
      <c r="A27" s="3" t="s">
        <v>388</v>
      </c>
      <c r="B27" s="2" t="s">
        <v>17</v>
      </c>
      <c r="C27" s="2" t="s">
        <v>90</v>
      </c>
      <c r="D27" s="2" t="s">
        <v>90</v>
      </c>
      <c r="E27" s="2" t="s">
        <v>90</v>
      </c>
      <c r="F27" s="2" t="s">
        <v>16</v>
      </c>
      <c r="G27" s="2" t="s">
        <v>90</v>
      </c>
      <c r="H27" s="2" t="s">
        <v>90</v>
      </c>
      <c r="I27" s="2" t="s">
        <v>90</v>
      </c>
      <c r="J27" s="2" t="s">
        <v>15</v>
      </c>
      <c r="K27" s="2" t="s">
        <v>90</v>
      </c>
      <c r="L27" s="2" t="s">
        <v>90</v>
      </c>
      <c r="M27" s="2" t="s">
        <v>90</v>
      </c>
      <c r="N27" s="2" t="s">
        <v>90</v>
      </c>
      <c r="O27" s="2" t="s">
        <v>90</v>
      </c>
      <c r="P27" s="2" t="s">
        <v>90</v>
      </c>
      <c r="Q27" s="2" t="s">
        <v>90</v>
      </c>
      <c r="R27" s="2" t="str">
        <f t="shared" si="1"/>
        <v>Casual videojuego</v>
      </c>
    </row>
    <row r="28" ht="12.75" customHeight="1">
      <c r="A28" s="3" t="s">
        <v>389</v>
      </c>
      <c r="B28" s="2" t="s">
        <v>89</v>
      </c>
      <c r="C28" s="2" t="s">
        <v>90</v>
      </c>
      <c r="D28" s="2" t="s">
        <v>90</v>
      </c>
      <c r="E28" s="2" t="s">
        <v>90</v>
      </c>
      <c r="F28" s="2" t="s">
        <v>16</v>
      </c>
      <c r="G28" s="2" t="s">
        <v>90</v>
      </c>
      <c r="H28" s="2" t="s">
        <v>15</v>
      </c>
      <c r="I28" s="2" t="s">
        <v>15</v>
      </c>
      <c r="J28" s="2" t="s">
        <v>89</v>
      </c>
      <c r="K28" s="2" t="s">
        <v>90</v>
      </c>
      <c r="L28" s="2" t="s">
        <v>90</v>
      </c>
      <c r="M28" s="2" t="s">
        <v>90</v>
      </c>
      <c r="N28" s="2" t="s">
        <v>90</v>
      </c>
      <c r="O28" s="2" t="s">
        <v>90</v>
      </c>
      <c r="P28" s="2" t="s">
        <v>90</v>
      </c>
      <c r="Q28" s="2" t="s">
        <v>90</v>
      </c>
      <c r="R28" s="2" t="str">
        <f t="shared" si="1"/>
        <v>Mentiroso</v>
      </c>
    </row>
    <row r="29" ht="12.75" customHeight="1">
      <c r="A29" s="3" t="s">
        <v>389</v>
      </c>
      <c r="B29" s="2" t="s">
        <v>15</v>
      </c>
      <c r="C29" s="2" t="s">
        <v>90</v>
      </c>
      <c r="D29" s="2" t="s">
        <v>90</v>
      </c>
      <c r="E29" s="2" t="s">
        <v>90</v>
      </c>
      <c r="F29" s="2" t="s">
        <v>89</v>
      </c>
      <c r="G29" s="2" t="s">
        <v>90</v>
      </c>
      <c r="H29" s="2" t="s">
        <v>16</v>
      </c>
      <c r="I29" s="2" t="s">
        <v>90</v>
      </c>
      <c r="J29" s="2" t="s">
        <v>15</v>
      </c>
      <c r="K29" s="2" t="s">
        <v>90</v>
      </c>
      <c r="L29" s="2" t="s">
        <v>90</v>
      </c>
      <c r="M29" s="2" t="s">
        <v>90</v>
      </c>
      <c r="N29" s="2" t="s">
        <v>90</v>
      </c>
      <c r="O29" s="2" t="s">
        <v>90</v>
      </c>
      <c r="P29" s="2" t="s">
        <v>90</v>
      </c>
      <c r="Q29" s="2" t="s">
        <v>90</v>
      </c>
      <c r="R29" s="2" t="str">
        <f t="shared" si="1"/>
        <v>Mentiroso</v>
      </c>
    </row>
    <row r="30" ht="12.75" customHeight="1">
      <c r="A30" s="3" t="s">
        <v>253</v>
      </c>
      <c r="B30" s="2" t="s">
        <v>15</v>
      </c>
      <c r="C30" s="2" t="s">
        <v>90</v>
      </c>
      <c r="D30" s="2" t="s">
        <v>90</v>
      </c>
      <c r="E30" s="2" t="s">
        <v>90</v>
      </c>
      <c r="F30" s="2" t="s">
        <v>16</v>
      </c>
      <c r="G30" s="2" t="s">
        <v>90</v>
      </c>
      <c r="H30" s="2" t="s">
        <v>89</v>
      </c>
      <c r="I30" s="2" t="s">
        <v>89</v>
      </c>
      <c r="J30" s="2" t="s">
        <v>89</v>
      </c>
      <c r="K30" s="2" t="s">
        <v>90</v>
      </c>
      <c r="L30" s="2" t="s">
        <v>90</v>
      </c>
      <c r="M30" s="2" t="s">
        <v>90</v>
      </c>
      <c r="N30" s="2" t="s">
        <v>90</v>
      </c>
      <c r="O30" s="2" t="s">
        <v>90</v>
      </c>
      <c r="P30" s="2" t="s">
        <v>90</v>
      </c>
      <c r="Q30" s="2" t="s">
        <v>90</v>
      </c>
      <c r="R30" s="2" t="str">
        <f t="shared" si="1"/>
        <v>Ajedrez</v>
      </c>
    </row>
    <row r="31" ht="12.75" customHeight="1">
      <c r="A31" s="3" t="s">
        <v>196</v>
      </c>
      <c r="B31" s="2" t="s">
        <v>15</v>
      </c>
      <c r="C31" s="2" t="s">
        <v>90</v>
      </c>
      <c r="D31" s="2" t="s">
        <v>90</v>
      </c>
      <c r="E31" s="2" t="s">
        <v>90</v>
      </c>
      <c r="F31" s="2" t="s">
        <v>16</v>
      </c>
      <c r="G31" s="2" t="s">
        <v>90</v>
      </c>
      <c r="H31" s="2" t="s">
        <v>90</v>
      </c>
      <c r="I31" s="2" t="s">
        <v>90</v>
      </c>
      <c r="J31" s="2" t="s">
        <v>17</v>
      </c>
      <c r="K31" s="2" t="s">
        <v>90</v>
      </c>
      <c r="L31" s="2" t="s">
        <v>90</v>
      </c>
      <c r="M31" s="2" t="s">
        <v>90</v>
      </c>
      <c r="N31" s="2" t="s">
        <v>90</v>
      </c>
      <c r="O31" s="2" t="s">
        <v>90</v>
      </c>
      <c r="P31" s="2" t="s">
        <v>90</v>
      </c>
      <c r="Q31" s="2" t="s">
        <v>90</v>
      </c>
      <c r="R31" s="2" t="str">
        <f t="shared" si="1"/>
        <v>Call of Duty</v>
      </c>
    </row>
    <row r="32" ht="12.75" customHeight="1">
      <c r="A32" s="3" t="s">
        <v>390</v>
      </c>
      <c r="B32" s="2" t="s">
        <v>89</v>
      </c>
      <c r="C32" s="2" t="s">
        <v>90</v>
      </c>
      <c r="D32" s="2" t="s">
        <v>90</v>
      </c>
      <c r="E32" s="2" t="s">
        <v>90</v>
      </c>
      <c r="F32" s="2" t="s">
        <v>89</v>
      </c>
      <c r="G32" s="2" t="s">
        <v>90</v>
      </c>
      <c r="H32" s="2" t="s">
        <v>89</v>
      </c>
      <c r="I32" s="2" t="s">
        <v>16</v>
      </c>
      <c r="J32" s="2" t="s">
        <v>89</v>
      </c>
      <c r="K32" s="2" t="s">
        <v>90</v>
      </c>
      <c r="L32" s="2" t="s">
        <v>90</v>
      </c>
      <c r="M32" s="2" t="s">
        <v>90</v>
      </c>
      <c r="N32" s="2" t="s">
        <v>90</v>
      </c>
      <c r="O32" s="2" t="s">
        <v>90</v>
      </c>
      <c r="P32" s="2" t="s">
        <v>90</v>
      </c>
      <c r="Q32" s="2" t="s">
        <v>90</v>
      </c>
      <c r="R32" s="2" t="str">
        <f t="shared" si="1"/>
        <v>Domino</v>
      </c>
    </row>
    <row r="33" ht="12.75" customHeight="1">
      <c r="A33" s="3" t="s">
        <v>391</v>
      </c>
      <c r="B33" s="2" t="s">
        <v>89</v>
      </c>
      <c r="C33" s="2" t="s">
        <v>90</v>
      </c>
      <c r="D33" s="2" t="s">
        <v>90</v>
      </c>
      <c r="E33" s="2" t="s">
        <v>90</v>
      </c>
      <c r="F33" s="2" t="s">
        <v>16</v>
      </c>
      <c r="G33" s="2" t="s">
        <v>90</v>
      </c>
      <c r="H33" s="2" t="s">
        <v>15</v>
      </c>
      <c r="I33" s="2" t="s">
        <v>17</v>
      </c>
      <c r="J33" s="2" t="s">
        <v>89</v>
      </c>
      <c r="K33" s="2" t="s">
        <v>90</v>
      </c>
      <c r="L33" s="2" t="s">
        <v>90</v>
      </c>
      <c r="M33" s="2" t="s">
        <v>90</v>
      </c>
      <c r="N33" s="2" t="s">
        <v>90</v>
      </c>
      <c r="O33" s="2" t="s">
        <v>90</v>
      </c>
      <c r="P33" s="2" t="s">
        <v>90</v>
      </c>
      <c r="Q33" s="2" t="s">
        <v>90</v>
      </c>
      <c r="R33" s="2" t="str">
        <f t="shared" si="1"/>
        <v>Helix videojuego</v>
      </c>
    </row>
    <row r="34" ht="12.75" customHeight="1">
      <c r="A34" s="3" t="s">
        <v>92</v>
      </c>
      <c r="B34" s="2" t="s">
        <v>17</v>
      </c>
      <c r="C34" s="2" t="s">
        <v>90</v>
      </c>
      <c r="D34" s="2" t="s">
        <v>90</v>
      </c>
      <c r="E34" s="2" t="s">
        <v>90</v>
      </c>
      <c r="F34" s="2" t="s">
        <v>16</v>
      </c>
      <c r="G34" s="2" t="s">
        <v>90</v>
      </c>
      <c r="H34" s="2" t="s">
        <v>15</v>
      </c>
      <c r="I34" s="2" t="s">
        <v>90</v>
      </c>
      <c r="J34" s="2" t="s">
        <v>89</v>
      </c>
      <c r="K34" s="2" t="s">
        <v>90</v>
      </c>
      <c r="L34" s="2" t="s">
        <v>90</v>
      </c>
      <c r="M34" s="2" t="s">
        <v>90</v>
      </c>
      <c r="N34" s="2" t="s">
        <v>90</v>
      </c>
      <c r="O34" s="2" t="s">
        <v>90</v>
      </c>
      <c r="P34" s="2" t="s">
        <v>90</v>
      </c>
      <c r="Q34" s="2" t="s">
        <v>90</v>
      </c>
      <c r="R34" s="2" t="str">
        <f t="shared" si="1"/>
        <v>Mario Kart</v>
      </c>
    </row>
    <row r="35" ht="12.75" customHeight="1">
      <c r="A35" s="3" t="s">
        <v>392</v>
      </c>
      <c r="B35" s="2" t="s">
        <v>16</v>
      </c>
      <c r="C35" s="2" t="s">
        <v>90</v>
      </c>
      <c r="D35" s="2" t="s">
        <v>90</v>
      </c>
      <c r="E35" s="2" t="s">
        <v>90</v>
      </c>
      <c r="F35" s="2" t="s">
        <v>89</v>
      </c>
      <c r="G35" s="2" t="s">
        <v>90</v>
      </c>
      <c r="H35" s="2" t="s">
        <v>89</v>
      </c>
      <c r="I35" s="2" t="s">
        <v>16</v>
      </c>
      <c r="J35" s="2" t="s">
        <v>89</v>
      </c>
      <c r="K35" s="2" t="s">
        <v>90</v>
      </c>
      <c r="L35" s="2" t="s">
        <v>90</v>
      </c>
      <c r="M35" s="2" t="s">
        <v>90</v>
      </c>
      <c r="N35" s="2" t="s">
        <v>90</v>
      </c>
      <c r="O35" s="2" t="s">
        <v>90</v>
      </c>
      <c r="P35" s="2" t="s">
        <v>90</v>
      </c>
      <c r="Q35" s="2" t="s">
        <v>90</v>
      </c>
      <c r="R35" s="2" t="str">
        <f t="shared" si="1"/>
        <v>Herencia de la tía Agata</v>
      </c>
    </row>
    <row r="36" ht="12.75" customHeight="1">
      <c r="A36" s="3" t="s">
        <v>44</v>
      </c>
      <c r="B36" s="2" t="s">
        <v>90</v>
      </c>
      <c r="C36" s="2" t="s">
        <v>90</v>
      </c>
      <c r="D36" s="2" t="s">
        <v>90</v>
      </c>
      <c r="E36" s="2" t="s">
        <v>90</v>
      </c>
      <c r="F36" s="2" t="s">
        <v>15</v>
      </c>
      <c r="G36" s="2" t="s">
        <v>90</v>
      </c>
      <c r="H36" s="2" t="s">
        <v>16</v>
      </c>
      <c r="I36" s="2" t="s">
        <v>16</v>
      </c>
      <c r="J36" s="2" t="s">
        <v>17</v>
      </c>
      <c r="K36" s="2" t="s">
        <v>90</v>
      </c>
      <c r="L36" s="2" t="s">
        <v>90</v>
      </c>
      <c r="M36" s="2" t="s">
        <v>90</v>
      </c>
      <c r="N36" s="2" t="s">
        <v>90</v>
      </c>
      <c r="O36" s="2" t="s">
        <v>90</v>
      </c>
      <c r="P36" s="2" t="s">
        <v>90</v>
      </c>
      <c r="Q36" s="2" t="s">
        <v>90</v>
      </c>
      <c r="R36" s="2" t="str">
        <f t="shared" si="1"/>
        <v>Criquet</v>
      </c>
    </row>
    <row r="37" ht="12.75" customHeight="1">
      <c r="A37" s="3" t="s">
        <v>91</v>
      </c>
      <c r="B37" s="2" t="s">
        <v>15</v>
      </c>
      <c r="C37" s="2" t="s">
        <v>90</v>
      </c>
      <c r="D37" s="2" t="s">
        <v>90</v>
      </c>
      <c r="E37" s="2" t="s">
        <v>90</v>
      </c>
      <c r="F37" s="2" t="s">
        <v>16</v>
      </c>
      <c r="G37" s="2" t="s">
        <v>90</v>
      </c>
      <c r="H37" s="2" t="s">
        <v>15</v>
      </c>
      <c r="I37" s="2" t="s">
        <v>89</v>
      </c>
      <c r="J37" s="2" t="s">
        <v>89</v>
      </c>
      <c r="K37" s="2" t="s">
        <v>90</v>
      </c>
      <c r="L37" s="2" t="s">
        <v>90</v>
      </c>
      <c r="M37" s="2" t="s">
        <v>90</v>
      </c>
      <c r="N37" s="2" t="s">
        <v>90</v>
      </c>
      <c r="O37" s="2" t="s">
        <v>90</v>
      </c>
      <c r="P37" s="2" t="s">
        <v>90</v>
      </c>
      <c r="Q37" s="2" t="s">
        <v>90</v>
      </c>
      <c r="R37" s="2" t="str">
        <f t="shared" si="1"/>
        <v>Catán</v>
      </c>
    </row>
    <row r="38" ht="12.75" customHeight="1">
      <c r="A38" s="3" t="s">
        <v>379</v>
      </c>
      <c r="B38" s="2" t="s">
        <v>16</v>
      </c>
      <c r="C38" s="2" t="s">
        <v>90</v>
      </c>
      <c r="D38" s="2" t="s">
        <v>90</v>
      </c>
      <c r="E38" s="2" t="s">
        <v>90</v>
      </c>
      <c r="F38" s="2" t="s">
        <v>89</v>
      </c>
      <c r="G38" s="2" t="s">
        <v>16</v>
      </c>
      <c r="H38" s="2" t="s">
        <v>89</v>
      </c>
      <c r="I38" s="2" t="s">
        <v>16</v>
      </c>
      <c r="J38" s="2" t="s">
        <v>89</v>
      </c>
      <c r="K38" s="2" t="s">
        <v>90</v>
      </c>
      <c r="L38" s="2" t="s">
        <v>90</v>
      </c>
      <c r="M38" s="2" t="s">
        <v>90</v>
      </c>
      <c r="N38" s="2" t="s">
        <v>90</v>
      </c>
      <c r="O38" s="2" t="s">
        <v>90</v>
      </c>
      <c r="P38" s="2" t="s">
        <v>90</v>
      </c>
      <c r="Q38" s="2" t="s">
        <v>90</v>
      </c>
      <c r="R38" s="2" t="str">
        <f t="shared" si="1"/>
        <v>Código secreto</v>
      </c>
    </row>
    <row r="39" ht="12.75" customHeight="1">
      <c r="A39" s="3" t="s">
        <v>31</v>
      </c>
      <c r="B39" s="2" t="s">
        <v>16</v>
      </c>
      <c r="C39" s="2" t="s">
        <v>90</v>
      </c>
      <c r="D39" s="2" t="s">
        <v>90</v>
      </c>
      <c r="E39" s="2" t="s">
        <v>90</v>
      </c>
      <c r="F39" s="2" t="s">
        <v>15</v>
      </c>
      <c r="G39" s="2" t="s">
        <v>90</v>
      </c>
      <c r="H39" s="2" t="s">
        <v>89</v>
      </c>
      <c r="I39" s="2" t="s">
        <v>90</v>
      </c>
      <c r="J39" s="2" t="s">
        <v>15</v>
      </c>
      <c r="K39" s="2" t="s">
        <v>90</v>
      </c>
      <c r="L39" s="2" t="s">
        <v>90</v>
      </c>
      <c r="M39" s="2" t="s">
        <v>90</v>
      </c>
      <c r="N39" s="2" t="s">
        <v>90</v>
      </c>
      <c r="O39" s="2" t="s">
        <v>90</v>
      </c>
      <c r="P39" s="2" t="s">
        <v>90</v>
      </c>
      <c r="Q39" s="2" t="s">
        <v>90</v>
      </c>
      <c r="R39" s="2" t="str">
        <f t="shared" si="1"/>
        <v>Dardos</v>
      </c>
    </row>
    <row r="40" ht="12.75" customHeight="1">
      <c r="A40" s="3" t="s">
        <v>393</v>
      </c>
      <c r="B40" s="2" t="s">
        <v>17</v>
      </c>
      <c r="C40" s="2" t="s">
        <v>90</v>
      </c>
      <c r="D40" s="2" t="s">
        <v>90</v>
      </c>
      <c r="E40" s="2" t="s">
        <v>90</v>
      </c>
      <c r="F40" s="2" t="s">
        <v>15</v>
      </c>
      <c r="G40" s="2" t="s">
        <v>90</v>
      </c>
      <c r="H40" s="2" t="s">
        <v>90</v>
      </c>
      <c r="I40" s="2" t="s">
        <v>90</v>
      </c>
      <c r="J40" s="2" t="s">
        <v>16</v>
      </c>
      <c r="K40" s="2" t="s">
        <v>90</v>
      </c>
      <c r="L40" s="2" t="s">
        <v>90</v>
      </c>
      <c r="M40" s="2" t="s">
        <v>90</v>
      </c>
      <c r="N40" s="2" t="s">
        <v>90</v>
      </c>
      <c r="O40" s="2" t="s">
        <v>90</v>
      </c>
      <c r="P40" s="2" t="s">
        <v>90</v>
      </c>
      <c r="Q40" s="2" t="s">
        <v>90</v>
      </c>
      <c r="R40" s="2" t="str">
        <f t="shared" si="1"/>
        <v>ARMS videojuego</v>
      </c>
    </row>
    <row r="41" ht="12.75" customHeight="1">
      <c r="A41" s="3" t="s">
        <v>389</v>
      </c>
      <c r="B41" s="2" t="s">
        <v>17</v>
      </c>
      <c r="C41" s="2" t="s">
        <v>90</v>
      </c>
      <c r="D41" s="2" t="s">
        <v>90</v>
      </c>
      <c r="E41" s="2" t="s">
        <v>90</v>
      </c>
      <c r="F41" s="2" t="s">
        <v>89</v>
      </c>
      <c r="G41" s="2" t="s">
        <v>90</v>
      </c>
      <c r="H41" s="2" t="s">
        <v>89</v>
      </c>
      <c r="I41" s="2" t="s">
        <v>15</v>
      </c>
      <c r="J41" s="2" t="s">
        <v>16</v>
      </c>
      <c r="K41" s="2" t="s">
        <v>90</v>
      </c>
      <c r="L41" s="2" t="s">
        <v>90</v>
      </c>
      <c r="M41" s="2" t="s">
        <v>90</v>
      </c>
      <c r="N41" s="2" t="s">
        <v>90</v>
      </c>
      <c r="O41" s="2" t="s">
        <v>90</v>
      </c>
      <c r="P41" s="2" t="s">
        <v>90</v>
      </c>
      <c r="Q41" s="2" t="s">
        <v>90</v>
      </c>
      <c r="R41" s="2" t="str">
        <f t="shared" si="1"/>
        <v>Mentiroso</v>
      </c>
    </row>
    <row r="42" ht="12.75" customHeight="1">
      <c r="A42" s="3" t="s">
        <v>394</v>
      </c>
      <c r="B42" s="2" t="s">
        <v>15</v>
      </c>
      <c r="C42" s="2" t="s">
        <v>90</v>
      </c>
      <c r="D42" s="2" t="s">
        <v>90</v>
      </c>
      <c r="E42" s="2" t="s">
        <v>90</v>
      </c>
      <c r="F42" s="2" t="s">
        <v>16</v>
      </c>
      <c r="G42" s="2" t="s">
        <v>90</v>
      </c>
      <c r="H42" s="2" t="s">
        <v>89</v>
      </c>
      <c r="I42" s="2" t="s">
        <v>89</v>
      </c>
      <c r="J42" s="2" t="s">
        <v>15</v>
      </c>
      <c r="K42" s="2" t="s">
        <v>90</v>
      </c>
      <c r="L42" s="2" t="s">
        <v>90</v>
      </c>
      <c r="M42" s="2" t="s">
        <v>90</v>
      </c>
      <c r="N42" s="2" t="s">
        <v>90</v>
      </c>
      <c r="O42" s="2" t="s">
        <v>90</v>
      </c>
      <c r="P42" s="2" t="s">
        <v>90</v>
      </c>
      <c r="Q42" s="2" t="s">
        <v>90</v>
      </c>
      <c r="R42" s="2" t="str">
        <f t="shared" si="1"/>
        <v>gogos</v>
      </c>
    </row>
    <row r="43" ht="12.75" customHeight="1">
      <c r="A43" s="3" t="s">
        <v>395</v>
      </c>
      <c r="B43" s="2" t="s">
        <v>89</v>
      </c>
      <c r="C43" s="2" t="s">
        <v>89</v>
      </c>
      <c r="D43" s="2" t="s">
        <v>90</v>
      </c>
      <c r="E43" s="2" t="s">
        <v>90</v>
      </c>
      <c r="F43" s="2" t="s">
        <v>16</v>
      </c>
      <c r="G43" s="2" t="s">
        <v>90</v>
      </c>
      <c r="H43" s="2" t="s">
        <v>89</v>
      </c>
      <c r="I43" s="2" t="s">
        <v>16</v>
      </c>
      <c r="J43" s="2" t="s">
        <v>89</v>
      </c>
      <c r="K43" s="2" t="s">
        <v>90</v>
      </c>
      <c r="L43" s="2" t="s">
        <v>90</v>
      </c>
      <c r="M43" s="2" t="s">
        <v>90</v>
      </c>
      <c r="N43" s="2" t="s">
        <v>90</v>
      </c>
      <c r="O43" s="2" t="s">
        <v>90</v>
      </c>
      <c r="P43" s="2" t="s">
        <v>90</v>
      </c>
      <c r="Q43" s="2" t="s">
        <v>90</v>
      </c>
      <c r="R43" s="2" t="str">
        <f t="shared" si="1"/>
        <v>frontón</v>
      </c>
    </row>
    <row r="44" ht="12.75" customHeight="1">
      <c r="A44" s="3" t="s">
        <v>396</v>
      </c>
      <c r="B44" s="2" t="s">
        <v>17</v>
      </c>
      <c r="C44" s="2" t="s">
        <v>90</v>
      </c>
      <c r="D44" s="2" t="s">
        <v>90</v>
      </c>
      <c r="E44" s="2" t="s">
        <v>90</v>
      </c>
      <c r="F44" s="2" t="s">
        <v>16</v>
      </c>
      <c r="G44" s="2" t="s">
        <v>90</v>
      </c>
      <c r="H44" s="2" t="s">
        <v>90</v>
      </c>
      <c r="I44" s="2" t="s">
        <v>90</v>
      </c>
      <c r="J44" s="2" t="s">
        <v>15</v>
      </c>
      <c r="K44" s="2" t="s">
        <v>90</v>
      </c>
      <c r="L44" s="2" t="s">
        <v>90</v>
      </c>
      <c r="M44" s="2" t="s">
        <v>90</v>
      </c>
      <c r="N44" s="2" t="s">
        <v>90</v>
      </c>
      <c r="O44" s="2" t="s">
        <v>90</v>
      </c>
      <c r="P44" s="2" t="s">
        <v>90</v>
      </c>
      <c r="Q44" s="2" t="s">
        <v>90</v>
      </c>
      <c r="R44" s="2" t="str">
        <f t="shared" si="1"/>
        <v>Palas</v>
      </c>
    </row>
    <row r="45" ht="12.75" customHeight="1">
      <c r="A45" s="3">
        <v>-1.0</v>
      </c>
      <c r="B45" s="2" t="s">
        <v>15</v>
      </c>
      <c r="C45" s="2" t="s">
        <v>89</v>
      </c>
      <c r="D45" s="2" t="s">
        <v>90</v>
      </c>
      <c r="E45" s="2" t="s">
        <v>90</v>
      </c>
      <c r="F45" s="2" t="s">
        <v>17</v>
      </c>
      <c r="G45" s="2" t="s">
        <v>89</v>
      </c>
      <c r="H45" s="2" t="s">
        <v>89</v>
      </c>
      <c r="I45" s="2" t="s">
        <v>16</v>
      </c>
      <c r="J45" s="2" t="s">
        <v>89</v>
      </c>
      <c r="K45" s="2" t="s">
        <v>90</v>
      </c>
      <c r="L45" s="2" t="s">
        <v>89</v>
      </c>
      <c r="M45" s="2" t="s">
        <v>90</v>
      </c>
      <c r="N45" s="2" t="s">
        <v>90</v>
      </c>
      <c r="O45" s="2" t="s">
        <v>90</v>
      </c>
      <c r="P45" s="2" t="s">
        <v>90</v>
      </c>
      <c r="Q45" s="2" t="s">
        <v>90</v>
      </c>
      <c r="R45" s="2">
        <f t="shared" si="1"/>
        <v>-1</v>
      </c>
    </row>
    <row r="46" ht="12.75" customHeight="1">
      <c r="A46" s="3" t="s">
        <v>397</v>
      </c>
      <c r="B46" s="2" t="s">
        <v>17</v>
      </c>
      <c r="C46" s="2" t="s">
        <v>15</v>
      </c>
      <c r="D46" s="2" t="s">
        <v>90</v>
      </c>
      <c r="E46" s="2" t="s">
        <v>90</v>
      </c>
      <c r="F46" s="2" t="s">
        <v>89</v>
      </c>
      <c r="G46" s="2" t="s">
        <v>90</v>
      </c>
      <c r="H46" s="2" t="s">
        <v>89</v>
      </c>
      <c r="I46" s="2" t="s">
        <v>17</v>
      </c>
      <c r="J46" s="2" t="s">
        <v>89</v>
      </c>
      <c r="K46" s="2" t="s">
        <v>90</v>
      </c>
      <c r="L46" s="2" t="s">
        <v>16</v>
      </c>
      <c r="M46" s="2" t="s">
        <v>90</v>
      </c>
      <c r="N46" s="2" t="s">
        <v>90</v>
      </c>
      <c r="O46" s="2" t="s">
        <v>90</v>
      </c>
      <c r="P46" s="2" t="s">
        <v>90</v>
      </c>
      <c r="Q46" s="2" t="s">
        <v>90</v>
      </c>
      <c r="R46" s="2" t="str">
        <f t="shared" si="1"/>
        <v>Juego de trenes: Viajeros al tren</v>
      </c>
    </row>
    <row r="47" ht="12.75" customHeight="1">
      <c r="A47" s="3" t="s">
        <v>33</v>
      </c>
      <c r="B47" s="2" t="s">
        <v>16</v>
      </c>
      <c r="C47" s="2" t="s">
        <v>90</v>
      </c>
      <c r="D47" s="2" t="s">
        <v>90</v>
      </c>
      <c r="E47" s="2" t="s">
        <v>90</v>
      </c>
      <c r="F47" s="2" t="s">
        <v>15</v>
      </c>
      <c r="G47" s="2" t="s">
        <v>90</v>
      </c>
      <c r="H47" s="2" t="s">
        <v>90</v>
      </c>
      <c r="I47" s="2" t="s">
        <v>90</v>
      </c>
      <c r="J47" s="2" t="s">
        <v>90</v>
      </c>
      <c r="K47" s="2" t="s">
        <v>90</v>
      </c>
      <c r="L47" s="2" t="s">
        <v>17</v>
      </c>
      <c r="M47" s="2" t="s">
        <v>90</v>
      </c>
      <c r="N47" s="2" t="s">
        <v>90</v>
      </c>
      <c r="O47" s="2" t="s">
        <v>90</v>
      </c>
      <c r="P47" s="2" t="s">
        <v>90</v>
      </c>
      <c r="Q47" s="2" t="s">
        <v>90</v>
      </c>
      <c r="R47" s="2" t="str">
        <f t="shared" si="1"/>
        <v>Burro</v>
      </c>
    </row>
    <row r="48" ht="12.75" customHeight="1">
      <c r="A48" s="3" t="s">
        <v>23</v>
      </c>
      <c r="B48" s="2" t="s">
        <v>89</v>
      </c>
      <c r="C48" s="2" t="s">
        <v>90</v>
      </c>
      <c r="D48" s="2" t="s">
        <v>90</v>
      </c>
      <c r="E48" s="2" t="s">
        <v>90</v>
      </c>
      <c r="F48" s="2" t="s">
        <v>89</v>
      </c>
      <c r="G48" s="2" t="s">
        <v>15</v>
      </c>
      <c r="H48" s="2" t="s">
        <v>89</v>
      </c>
      <c r="I48" s="2" t="s">
        <v>16</v>
      </c>
      <c r="J48" s="2" t="s">
        <v>17</v>
      </c>
      <c r="K48" s="2" t="s">
        <v>90</v>
      </c>
      <c r="L48" s="2" t="s">
        <v>89</v>
      </c>
      <c r="M48" s="2" t="s">
        <v>90</v>
      </c>
      <c r="N48" s="2" t="s">
        <v>90</v>
      </c>
      <c r="O48" s="2" t="s">
        <v>90</v>
      </c>
      <c r="P48" s="2" t="s">
        <v>90</v>
      </c>
      <c r="Q48" s="2" t="s">
        <v>90</v>
      </c>
      <c r="R48" s="2" t="str">
        <f t="shared" si="1"/>
        <v>Frontón</v>
      </c>
    </row>
    <row r="49" ht="12.75" customHeight="1">
      <c r="A49" s="3" t="s">
        <v>398</v>
      </c>
      <c r="B49" s="2" t="s">
        <v>15</v>
      </c>
      <c r="C49" s="2" t="s">
        <v>16</v>
      </c>
      <c r="D49" s="2" t="s">
        <v>90</v>
      </c>
      <c r="E49" s="2" t="s">
        <v>90</v>
      </c>
      <c r="F49" s="2" t="s">
        <v>16</v>
      </c>
      <c r="G49" s="2" t="s">
        <v>90</v>
      </c>
      <c r="H49" s="2" t="s">
        <v>90</v>
      </c>
      <c r="I49" s="2" t="s">
        <v>90</v>
      </c>
      <c r="J49" s="2" t="s">
        <v>15</v>
      </c>
      <c r="K49" s="2" t="s">
        <v>90</v>
      </c>
      <c r="L49" s="2" t="s">
        <v>90</v>
      </c>
      <c r="M49" s="2" t="s">
        <v>90</v>
      </c>
      <c r="N49" s="2" t="s">
        <v>90</v>
      </c>
      <c r="O49" s="2" t="s">
        <v>90</v>
      </c>
      <c r="P49" s="2" t="s">
        <v>90</v>
      </c>
      <c r="Q49" s="2" t="s">
        <v>90</v>
      </c>
      <c r="R49" s="2" t="str">
        <f t="shared" si="1"/>
        <v>Frontón por equipos</v>
      </c>
    </row>
    <row r="50" ht="12.75" customHeight="1">
      <c r="A50" s="3" t="s">
        <v>399</v>
      </c>
      <c r="B50" s="2" t="s">
        <v>15</v>
      </c>
      <c r="C50" s="2" t="s">
        <v>17</v>
      </c>
      <c r="D50" s="2" t="s">
        <v>90</v>
      </c>
      <c r="E50" s="2" t="s">
        <v>90</v>
      </c>
      <c r="F50" s="2" t="s">
        <v>16</v>
      </c>
      <c r="G50" s="2" t="s">
        <v>90</v>
      </c>
      <c r="H50" s="2" t="s">
        <v>90</v>
      </c>
      <c r="I50" s="2" t="s">
        <v>90</v>
      </c>
      <c r="J50" s="2" t="s">
        <v>89</v>
      </c>
      <c r="K50" s="2" t="s">
        <v>90</v>
      </c>
      <c r="L50" s="2" t="s">
        <v>90</v>
      </c>
      <c r="M50" s="2" t="s">
        <v>90</v>
      </c>
      <c r="N50" s="2" t="s">
        <v>90</v>
      </c>
      <c r="O50" s="2" t="s">
        <v>90</v>
      </c>
      <c r="P50" s="2" t="s">
        <v>90</v>
      </c>
      <c r="Q50" s="2" t="s">
        <v>90</v>
      </c>
      <c r="R50" s="2" t="str">
        <f t="shared" si="1"/>
        <v>Carrera rotando</v>
      </c>
    </row>
    <row r="51" ht="12.75" customHeight="1">
      <c r="A51" s="3" t="s">
        <v>400</v>
      </c>
      <c r="B51" s="2" t="s">
        <v>16</v>
      </c>
      <c r="C51" s="2" t="s">
        <v>17</v>
      </c>
      <c r="D51" s="2" t="s">
        <v>90</v>
      </c>
      <c r="E51" s="2" t="s">
        <v>90</v>
      </c>
      <c r="F51" s="2" t="s">
        <v>15</v>
      </c>
      <c r="G51" s="2" t="s">
        <v>90</v>
      </c>
      <c r="H51" s="2" t="s">
        <v>90</v>
      </c>
      <c r="I51" s="2" t="s">
        <v>90</v>
      </c>
      <c r="J51" s="2" t="s">
        <v>90</v>
      </c>
      <c r="K51" s="2" t="s">
        <v>90</v>
      </c>
      <c r="L51" s="2" t="s">
        <v>90</v>
      </c>
      <c r="M51" s="2" t="s">
        <v>90</v>
      </c>
      <c r="N51" s="2" t="s">
        <v>90</v>
      </c>
      <c r="O51" s="2" t="s">
        <v>90</v>
      </c>
      <c r="P51" s="2" t="s">
        <v>90</v>
      </c>
      <c r="Q51" s="2" t="s">
        <v>90</v>
      </c>
      <c r="R51" s="2" t="str">
        <f t="shared" si="1"/>
        <v>Carrera tenis</v>
      </c>
    </row>
    <row r="52" ht="12.75" customHeight="1">
      <c r="A52" s="3" t="s">
        <v>121</v>
      </c>
      <c r="B52" s="2" t="s">
        <v>17</v>
      </c>
      <c r="C52" s="2" t="s">
        <v>16</v>
      </c>
      <c r="D52" s="2" t="s">
        <v>90</v>
      </c>
      <c r="E52" s="2" t="s">
        <v>90</v>
      </c>
      <c r="F52" s="2" t="s">
        <v>15</v>
      </c>
      <c r="G52" s="2" t="s">
        <v>90</v>
      </c>
      <c r="H52" s="2" t="s">
        <v>90</v>
      </c>
      <c r="I52" s="2" t="s">
        <v>90</v>
      </c>
      <c r="J52" s="2" t="s">
        <v>89</v>
      </c>
      <c r="K52" s="2" t="s">
        <v>90</v>
      </c>
      <c r="L52" s="2" t="s">
        <v>90</v>
      </c>
      <c r="M52" s="2" t="s">
        <v>90</v>
      </c>
      <c r="N52" s="2" t="s">
        <v>90</v>
      </c>
      <c r="O52" s="2" t="s">
        <v>90</v>
      </c>
      <c r="P52" s="2" t="s">
        <v>90</v>
      </c>
      <c r="Q52" s="2" t="s">
        <v>90</v>
      </c>
      <c r="R52" s="2" t="str">
        <f t="shared" si="1"/>
        <v>Carrera en bici</v>
      </c>
    </row>
    <row r="53" ht="12.75" customHeight="1">
      <c r="A53" s="3" t="s">
        <v>266</v>
      </c>
      <c r="B53" s="2" t="s">
        <v>16</v>
      </c>
      <c r="C53" s="2" t="s">
        <v>89</v>
      </c>
      <c r="D53" s="2" t="s">
        <v>90</v>
      </c>
      <c r="E53" s="2" t="s">
        <v>90</v>
      </c>
      <c r="F53" s="2" t="s">
        <v>16</v>
      </c>
      <c r="G53" s="2" t="s">
        <v>90</v>
      </c>
      <c r="H53" s="2" t="s">
        <v>16</v>
      </c>
      <c r="I53" s="2" t="s">
        <v>89</v>
      </c>
      <c r="J53" s="2" t="s">
        <v>89</v>
      </c>
      <c r="K53" s="2" t="s">
        <v>90</v>
      </c>
      <c r="L53" s="2" t="s">
        <v>89</v>
      </c>
      <c r="M53" s="2" t="s">
        <v>90</v>
      </c>
      <c r="N53" s="2" t="s">
        <v>90</v>
      </c>
      <c r="O53" s="2" t="s">
        <v>90</v>
      </c>
      <c r="P53" s="2" t="s">
        <v>90</v>
      </c>
      <c r="Q53" s="2" t="s">
        <v>90</v>
      </c>
      <c r="R53" s="2" t="str">
        <f t="shared" si="1"/>
        <v>Interferencias</v>
      </c>
    </row>
    <row r="54" ht="12.75" customHeight="1">
      <c r="A54" s="3" t="s">
        <v>401</v>
      </c>
      <c r="B54" s="2" t="s">
        <v>16</v>
      </c>
      <c r="C54" s="2" t="s">
        <v>90</v>
      </c>
      <c r="D54" s="2" t="s">
        <v>90</v>
      </c>
      <c r="E54" s="2" t="s">
        <v>90</v>
      </c>
      <c r="F54" s="2" t="s">
        <v>90</v>
      </c>
      <c r="G54" s="2" t="s">
        <v>90</v>
      </c>
      <c r="H54" s="2" t="s">
        <v>90</v>
      </c>
      <c r="I54" s="2" t="s">
        <v>90</v>
      </c>
      <c r="J54" s="2" t="s">
        <v>15</v>
      </c>
      <c r="K54" s="2" t="s">
        <v>90</v>
      </c>
      <c r="L54" s="2" t="s">
        <v>90</v>
      </c>
      <c r="M54" s="2" t="s">
        <v>90</v>
      </c>
      <c r="N54" s="2" t="s">
        <v>90</v>
      </c>
      <c r="O54" s="2" t="s">
        <v>90</v>
      </c>
      <c r="P54" s="2" t="s">
        <v>90</v>
      </c>
      <c r="Q54" s="2" t="s">
        <v>90</v>
      </c>
      <c r="R54" s="2" t="str">
        <f t="shared" si="1"/>
        <v>Baloncesto partido</v>
      </c>
    </row>
    <row r="55" ht="12.75" customHeight="1">
      <c r="A55" s="3">
        <v>-1.0</v>
      </c>
      <c r="B55" s="2" t="s">
        <v>16</v>
      </c>
      <c r="C55" s="2" t="s">
        <v>17</v>
      </c>
      <c r="D55" s="2" t="s">
        <v>90</v>
      </c>
      <c r="E55" s="2" t="s">
        <v>90</v>
      </c>
      <c r="F55" s="2" t="s">
        <v>15</v>
      </c>
      <c r="G55" s="2" t="s">
        <v>90</v>
      </c>
      <c r="H55" s="2" t="s">
        <v>90</v>
      </c>
      <c r="I55" s="2" t="s">
        <v>90</v>
      </c>
      <c r="J55" s="2" t="s">
        <v>89</v>
      </c>
      <c r="K55" s="2" t="s">
        <v>90</v>
      </c>
      <c r="L55" s="2" t="s">
        <v>90</v>
      </c>
      <c r="M55" s="2" t="s">
        <v>90</v>
      </c>
      <c r="N55" s="2" t="s">
        <v>90</v>
      </c>
      <c r="O55" s="2" t="s">
        <v>90</v>
      </c>
      <c r="P55" s="2" t="s">
        <v>90</v>
      </c>
      <c r="Q55" s="2" t="s">
        <v>90</v>
      </c>
      <c r="R55" s="2">
        <f t="shared" si="1"/>
        <v>-1</v>
      </c>
    </row>
    <row r="56" ht="12.75" customHeight="1">
      <c r="A56" s="3" t="s">
        <v>23</v>
      </c>
      <c r="B56" s="2" t="s">
        <v>90</v>
      </c>
      <c r="C56" s="2" t="s">
        <v>90</v>
      </c>
      <c r="D56" s="2" t="s">
        <v>90</v>
      </c>
      <c r="E56" s="2" t="s">
        <v>90</v>
      </c>
      <c r="F56" s="2" t="s">
        <v>90</v>
      </c>
      <c r="G56" s="2" t="s">
        <v>90</v>
      </c>
      <c r="H56" s="2" t="s">
        <v>16</v>
      </c>
      <c r="I56" s="2" t="s">
        <v>16</v>
      </c>
      <c r="J56" s="2" t="s">
        <v>90</v>
      </c>
      <c r="K56" s="2" t="s">
        <v>90</v>
      </c>
      <c r="L56" s="2" t="s">
        <v>90</v>
      </c>
      <c r="M56" s="2" t="s">
        <v>90</v>
      </c>
      <c r="N56" s="2" t="s">
        <v>90</v>
      </c>
      <c r="O56" s="2" t="s">
        <v>90</v>
      </c>
      <c r="P56" s="2" t="s">
        <v>90</v>
      </c>
      <c r="Q56" s="2" t="s">
        <v>90</v>
      </c>
      <c r="R56" s="2" t="str">
        <f t="shared" si="1"/>
        <v>Frontón</v>
      </c>
    </row>
    <row r="57" ht="12.75" customHeight="1">
      <c r="A57" s="3" t="s">
        <v>402</v>
      </c>
      <c r="B57" s="2" t="s">
        <v>16</v>
      </c>
      <c r="C57" s="2" t="s">
        <v>16</v>
      </c>
      <c r="D57" s="2" t="s">
        <v>90</v>
      </c>
      <c r="E57" s="2" t="s">
        <v>90</v>
      </c>
      <c r="F57" s="2" t="s">
        <v>89</v>
      </c>
      <c r="G57" s="2" t="s">
        <v>90</v>
      </c>
      <c r="H57" s="2" t="s">
        <v>89</v>
      </c>
      <c r="I57" s="2" t="s">
        <v>89</v>
      </c>
      <c r="J57" s="2" t="s">
        <v>89</v>
      </c>
      <c r="K57" s="2" t="s">
        <v>90</v>
      </c>
      <c r="L57" s="2" t="s">
        <v>89</v>
      </c>
      <c r="M57" s="2" t="s">
        <v>90</v>
      </c>
      <c r="N57" s="2" t="s">
        <v>90</v>
      </c>
      <c r="O57" s="2" t="s">
        <v>89</v>
      </c>
      <c r="P57" s="2" t="s">
        <v>90</v>
      </c>
      <c r="Q57" s="2" t="s">
        <v>90</v>
      </c>
      <c r="R57" s="2" t="str">
        <f t="shared" si="1"/>
        <v>Porra partido</v>
      </c>
    </row>
    <row r="58" ht="12.75" customHeight="1">
      <c r="A58" s="3" t="s">
        <v>158</v>
      </c>
      <c r="B58" s="2" t="s">
        <v>90</v>
      </c>
      <c r="C58" s="2" t="s">
        <v>15</v>
      </c>
      <c r="D58" s="2" t="s">
        <v>90</v>
      </c>
      <c r="E58" s="2" t="s">
        <v>90</v>
      </c>
      <c r="F58" s="2" t="s">
        <v>16</v>
      </c>
      <c r="G58" s="2" t="s">
        <v>90</v>
      </c>
      <c r="H58" s="2" t="s">
        <v>90</v>
      </c>
      <c r="I58" s="2" t="s">
        <v>17</v>
      </c>
      <c r="J58" s="2" t="s">
        <v>89</v>
      </c>
      <c r="K58" s="2" t="s">
        <v>90</v>
      </c>
      <c r="L58" s="2" t="s">
        <v>90</v>
      </c>
      <c r="M58" s="2" t="s">
        <v>90</v>
      </c>
      <c r="N58" s="2" t="s">
        <v>90</v>
      </c>
      <c r="O58" s="2" t="s">
        <v>90</v>
      </c>
      <c r="P58" s="2" t="s">
        <v>90</v>
      </c>
      <c r="Q58" s="2" t="s">
        <v>90</v>
      </c>
      <c r="R58" s="2" t="str">
        <f t="shared" si="1"/>
        <v>Carrera bici</v>
      </c>
    </row>
    <row r="59" ht="12.75" customHeight="1">
      <c r="A59" s="3" t="s">
        <v>92</v>
      </c>
      <c r="B59" s="2" t="s">
        <v>90</v>
      </c>
      <c r="C59" s="2" t="s">
        <v>15</v>
      </c>
      <c r="D59" s="2" t="s">
        <v>90</v>
      </c>
      <c r="E59" s="2" t="s">
        <v>90</v>
      </c>
      <c r="F59" s="2" t="s">
        <v>16</v>
      </c>
      <c r="G59" s="2" t="s">
        <v>90</v>
      </c>
      <c r="H59" s="2" t="s">
        <v>17</v>
      </c>
      <c r="I59" s="2" t="s">
        <v>89</v>
      </c>
      <c r="J59" s="2" t="s">
        <v>89</v>
      </c>
      <c r="K59" s="2" t="s">
        <v>90</v>
      </c>
      <c r="L59" s="2" t="s">
        <v>90</v>
      </c>
      <c r="M59" s="2" t="s">
        <v>90</v>
      </c>
      <c r="N59" s="2" t="s">
        <v>90</v>
      </c>
      <c r="O59" s="2" t="s">
        <v>90</v>
      </c>
      <c r="P59" s="2" t="s">
        <v>90</v>
      </c>
      <c r="Q59" s="2" t="s">
        <v>90</v>
      </c>
      <c r="R59" s="2" t="str">
        <f t="shared" si="1"/>
        <v>Mario Kart</v>
      </c>
    </row>
    <row r="60" ht="12.75" customHeight="1">
      <c r="A60" s="3" t="s">
        <v>371</v>
      </c>
      <c r="B60" s="2" t="s">
        <v>15</v>
      </c>
      <c r="C60" s="2" t="s">
        <v>89</v>
      </c>
      <c r="D60" s="2" t="s">
        <v>90</v>
      </c>
      <c r="E60" s="2" t="s">
        <v>90</v>
      </c>
      <c r="F60" s="2" t="s">
        <v>89</v>
      </c>
      <c r="G60" s="2" t="s">
        <v>90</v>
      </c>
      <c r="H60" s="2" t="s">
        <v>17</v>
      </c>
      <c r="I60" s="2" t="s">
        <v>16</v>
      </c>
      <c r="J60" s="2" t="s">
        <v>89</v>
      </c>
      <c r="K60" s="2" t="s">
        <v>90</v>
      </c>
      <c r="L60" s="2" t="s">
        <v>90</v>
      </c>
      <c r="M60" s="2" t="s">
        <v>90</v>
      </c>
      <c r="N60" s="2" t="s">
        <v>90</v>
      </c>
      <c r="O60" s="2" t="s">
        <v>90</v>
      </c>
      <c r="P60" s="2" t="s">
        <v>90</v>
      </c>
      <c r="Q60" s="2" t="s">
        <v>90</v>
      </c>
      <c r="R60" s="2" t="str">
        <f t="shared" si="1"/>
        <v>Aviones</v>
      </c>
    </row>
    <row r="61" ht="12.75" customHeight="1">
      <c r="A61" s="3" t="s">
        <v>94</v>
      </c>
      <c r="B61" s="2" t="s">
        <v>16</v>
      </c>
      <c r="C61" s="2" t="s">
        <v>89</v>
      </c>
      <c r="D61" s="2" t="s">
        <v>90</v>
      </c>
      <c r="E61" s="2" t="s">
        <v>90</v>
      </c>
      <c r="F61" s="2" t="s">
        <v>89</v>
      </c>
      <c r="G61" s="2" t="s">
        <v>90</v>
      </c>
      <c r="H61" s="2" t="s">
        <v>15</v>
      </c>
      <c r="I61" s="2" t="s">
        <v>89</v>
      </c>
      <c r="J61" s="2" t="s">
        <v>17</v>
      </c>
      <c r="K61" s="2" t="s">
        <v>90</v>
      </c>
      <c r="L61" s="2" t="s">
        <v>90</v>
      </c>
      <c r="M61" s="2" t="s">
        <v>90</v>
      </c>
      <c r="N61" s="2" t="s">
        <v>90</v>
      </c>
      <c r="O61" s="2" t="s">
        <v>90</v>
      </c>
      <c r="P61" s="2" t="s">
        <v>90</v>
      </c>
      <c r="Q61" s="2" t="s">
        <v>90</v>
      </c>
      <c r="R61" s="2" t="str">
        <f t="shared" si="1"/>
        <v>Chapas</v>
      </c>
    </row>
    <row r="62" ht="12.75" customHeight="1">
      <c r="A62" s="3" t="s">
        <v>403</v>
      </c>
      <c r="B62" s="2" t="s">
        <v>16</v>
      </c>
      <c r="C62" s="2" t="s">
        <v>15</v>
      </c>
      <c r="D62" s="2" t="s">
        <v>90</v>
      </c>
      <c r="E62" s="2" t="s">
        <v>90</v>
      </c>
      <c r="F62" s="2" t="s">
        <v>17</v>
      </c>
      <c r="G62" s="2" t="s">
        <v>90</v>
      </c>
      <c r="H62" s="2" t="s">
        <v>17</v>
      </c>
      <c r="I62" s="2" t="s">
        <v>17</v>
      </c>
      <c r="J62" s="2" t="s">
        <v>17</v>
      </c>
      <c r="K62" s="2" t="s">
        <v>90</v>
      </c>
      <c r="L62" s="2" t="s">
        <v>90</v>
      </c>
      <c r="M62" s="2" t="s">
        <v>90</v>
      </c>
      <c r="N62" s="2" t="s">
        <v>90</v>
      </c>
      <c r="O62" s="2" t="s">
        <v>90</v>
      </c>
      <c r="P62" s="2" t="s">
        <v>90</v>
      </c>
      <c r="Q62" s="2" t="s">
        <v>90</v>
      </c>
      <c r="R62" s="2" t="str">
        <f t="shared" si="1"/>
        <v>Canicas</v>
      </c>
    </row>
    <row r="63" ht="12.75" customHeight="1">
      <c r="A63" s="3" t="s">
        <v>359</v>
      </c>
      <c r="B63" s="2" t="s">
        <v>89</v>
      </c>
      <c r="C63" s="2" t="s">
        <v>89</v>
      </c>
      <c r="D63" s="2" t="s">
        <v>90</v>
      </c>
      <c r="E63" s="2" t="s">
        <v>90</v>
      </c>
      <c r="F63" s="2" t="s">
        <v>89</v>
      </c>
      <c r="G63" s="2" t="s">
        <v>89</v>
      </c>
      <c r="H63" s="2" t="s">
        <v>89</v>
      </c>
      <c r="I63" s="2" t="s">
        <v>16</v>
      </c>
      <c r="J63" s="2" t="s">
        <v>89</v>
      </c>
      <c r="K63" s="2" t="s">
        <v>90</v>
      </c>
      <c r="L63" s="2" t="s">
        <v>90</v>
      </c>
      <c r="M63" s="2" t="s">
        <v>90</v>
      </c>
      <c r="N63" s="2" t="s">
        <v>90</v>
      </c>
      <c r="O63" s="2" t="s">
        <v>89</v>
      </c>
      <c r="P63" s="2" t="s">
        <v>89</v>
      </c>
      <c r="Q63" s="2" t="s">
        <v>90</v>
      </c>
      <c r="R63" s="2" t="str">
        <f t="shared" si="1"/>
        <v>Porra</v>
      </c>
    </row>
    <row r="64" ht="12.75" customHeight="1">
      <c r="A64" s="3" t="s">
        <v>27</v>
      </c>
      <c r="B64" s="2" t="s">
        <v>89</v>
      </c>
      <c r="C64" s="2" t="s">
        <v>89</v>
      </c>
      <c r="D64" s="2" t="s">
        <v>90</v>
      </c>
      <c r="E64" s="2" t="s">
        <v>90</v>
      </c>
      <c r="F64" s="2" t="s">
        <v>15</v>
      </c>
      <c r="G64" s="2" t="s">
        <v>16</v>
      </c>
      <c r="H64" s="2" t="s">
        <v>17</v>
      </c>
      <c r="I64" s="2" t="s">
        <v>16</v>
      </c>
      <c r="J64" s="2" t="s">
        <v>15</v>
      </c>
      <c r="K64" s="2" t="s">
        <v>90</v>
      </c>
      <c r="L64" s="2" t="s">
        <v>90</v>
      </c>
      <c r="M64" s="2" t="s">
        <v>90</v>
      </c>
      <c r="N64" s="2" t="s">
        <v>90</v>
      </c>
      <c r="O64" s="2" t="s">
        <v>90</v>
      </c>
      <c r="P64" s="2" t="s">
        <v>90</v>
      </c>
      <c r="Q64" s="2" t="s">
        <v>90</v>
      </c>
      <c r="R64" s="2" t="str">
        <f t="shared" si="1"/>
        <v>Petanca</v>
      </c>
    </row>
    <row r="65" ht="12.75" customHeight="1">
      <c r="A65" s="3" t="s">
        <v>404</v>
      </c>
      <c r="B65" s="2" t="s">
        <v>16</v>
      </c>
      <c r="C65" s="2" t="s">
        <v>17</v>
      </c>
      <c r="D65" s="2" t="s">
        <v>90</v>
      </c>
      <c r="E65" s="2" t="s">
        <v>90</v>
      </c>
      <c r="F65" s="2" t="s">
        <v>15</v>
      </c>
      <c r="G65" s="2" t="s">
        <v>89</v>
      </c>
      <c r="H65" s="2" t="s">
        <v>89</v>
      </c>
      <c r="I65" s="2" t="s">
        <v>89</v>
      </c>
      <c r="J65" s="2" t="s">
        <v>89</v>
      </c>
      <c r="K65" s="2" t="s">
        <v>90</v>
      </c>
      <c r="L65" s="2" t="s">
        <v>90</v>
      </c>
      <c r="M65" s="2" t="s">
        <v>90</v>
      </c>
      <c r="N65" s="2" t="s">
        <v>90</v>
      </c>
      <c r="O65" s="2" t="s">
        <v>90</v>
      </c>
      <c r="P65" s="2" t="s">
        <v>90</v>
      </c>
      <c r="Q65" s="2" t="s">
        <v>90</v>
      </c>
      <c r="R65" s="2" t="str">
        <f t="shared" si="1"/>
        <v>Toques balón fútbol</v>
      </c>
    </row>
    <row r="66" ht="12.75" customHeight="1">
      <c r="A66" s="3" t="s">
        <v>405</v>
      </c>
      <c r="B66" s="2" t="s">
        <v>15</v>
      </c>
      <c r="C66" s="2" t="s">
        <v>17</v>
      </c>
      <c r="D66" s="2" t="s">
        <v>90</v>
      </c>
      <c r="E66" s="2" t="s">
        <v>90</v>
      </c>
      <c r="F66" s="2" t="s">
        <v>16</v>
      </c>
      <c r="G66" s="2" t="s">
        <v>89</v>
      </c>
      <c r="H66" s="2" t="s">
        <v>89</v>
      </c>
      <c r="I66" s="2" t="s">
        <v>89</v>
      </c>
      <c r="J66" s="2" t="s">
        <v>89</v>
      </c>
      <c r="K66" s="2" t="s">
        <v>90</v>
      </c>
      <c r="L66" s="2" t="s">
        <v>90</v>
      </c>
      <c r="M66" s="2" t="s">
        <v>90</v>
      </c>
      <c r="N66" s="2" t="s">
        <v>90</v>
      </c>
      <c r="O66" s="2" t="s">
        <v>90</v>
      </c>
      <c r="P66" s="2" t="s">
        <v>90</v>
      </c>
      <c r="Q66" s="2" t="s">
        <v>90</v>
      </c>
      <c r="R66" s="2" t="str">
        <f t="shared" si="1"/>
        <v>Lanzamiento de cacahuete</v>
      </c>
    </row>
    <row r="67" ht="12.75" customHeight="1">
      <c r="A67" s="3" t="s">
        <v>406</v>
      </c>
      <c r="B67" s="2" t="s">
        <v>90</v>
      </c>
      <c r="C67" s="2" t="s">
        <v>15</v>
      </c>
      <c r="D67" s="2" t="s">
        <v>90</v>
      </c>
      <c r="E67" s="2" t="s">
        <v>90</v>
      </c>
      <c r="F67" s="2" t="s">
        <v>17</v>
      </c>
      <c r="G67" s="2" t="s">
        <v>16</v>
      </c>
      <c r="H67" s="2" t="s">
        <v>16</v>
      </c>
      <c r="I67" s="2" t="s">
        <v>15</v>
      </c>
      <c r="J67" s="2" t="s">
        <v>17</v>
      </c>
      <c r="K67" s="2" t="s">
        <v>90</v>
      </c>
      <c r="L67" s="2" t="s">
        <v>90</v>
      </c>
      <c r="M67" s="2" t="s">
        <v>90</v>
      </c>
      <c r="N67" s="2" t="s">
        <v>90</v>
      </c>
      <c r="O67" s="2" t="s">
        <v>90</v>
      </c>
      <c r="P67" s="2" t="s">
        <v>90</v>
      </c>
      <c r="Q67" s="2" t="s">
        <v>90</v>
      </c>
      <c r="R67" s="2" t="str">
        <f t="shared" si="1"/>
        <v>Pasar frisbee</v>
      </c>
    </row>
    <row r="68" ht="12.75" customHeight="1">
      <c r="A68" s="3" t="s">
        <v>407</v>
      </c>
      <c r="B68" s="2" t="s">
        <v>16</v>
      </c>
      <c r="C68" s="2" t="s">
        <v>17</v>
      </c>
      <c r="D68" s="2" t="s">
        <v>90</v>
      </c>
      <c r="E68" s="2" t="s">
        <v>90</v>
      </c>
      <c r="F68" s="2" t="s">
        <v>89</v>
      </c>
      <c r="G68" s="2" t="s">
        <v>15</v>
      </c>
      <c r="H68" s="2" t="s">
        <v>89</v>
      </c>
      <c r="I68" s="2" t="s">
        <v>89</v>
      </c>
      <c r="J68" s="2" t="s">
        <v>89</v>
      </c>
      <c r="K68" s="2" t="s">
        <v>90</v>
      </c>
      <c r="L68" s="2" t="s">
        <v>90</v>
      </c>
      <c r="M68" s="2" t="s">
        <v>90</v>
      </c>
      <c r="N68" s="2" t="s">
        <v>90</v>
      </c>
      <c r="O68" s="2" t="s">
        <v>90</v>
      </c>
      <c r="P68" s="2" t="s">
        <v>90</v>
      </c>
      <c r="Q68" s="2" t="s">
        <v>90</v>
      </c>
      <c r="R68" s="2" t="str">
        <f t="shared" si="1"/>
        <v>Todos frisbee</v>
      </c>
    </row>
    <row r="69" ht="12.75" customHeight="1">
      <c r="A69" s="3" t="s">
        <v>408</v>
      </c>
      <c r="B69" s="2" t="s">
        <v>89</v>
      </c>
      <c r="C69" s="2" t="s">
        <v>89</v>
      </c>
      <c r="D69" s="2" t="s">
        <v>90</v>
      </c>
      <c r="E69" s="2" t="s">
        <v>90</v>
      </c>
      <c r="F69" s="2" t="s">
        <v>17</v>
      </c>
      <c r="G69" s="2" t="s">
        <v>16</v>
      </c>
      <c r="H69" s="2" t="s">
        <v>15</v>
      </c>
      <c r="I69" s="2" t="s">
        <v>89</v>
      </c>
      <c r="J69" s="2" t="s">
        <v>89</v>
      </c>
      <c r="K69" s="2" t="s">
        <v>90</v>
      </c>
      <c r="L69" s="2" t="s">
        <v>90</v>
      </c>
      <c r="M69" s="2" t="s">
        <v>90</v>
      </c>
      <c r="N69" s="2" t="s">
        <v>90</v>
      </c>
      <c r="O69" s="2" t="s">
        <v>90</v>
      </c>
      <c r="P69" s="2" t="s">
        <v>90</v>
      </c>
      <c r="Q69" s="2" t="s">
        <v>90</v>
      </c>
      <c r="R69" s="2" t="str">
        <f t="shared" si="1"/>
        <v>Todos Frisbee</v>
      </c>
    </row>
    <row r="70" ht="12.75" customHeight="1">
      <c r="A70" s="3" t="s">
        <v>409</v>
      </c>
      <c r="B70" s="2" t="s">
        <v>89</v>
      </c>
      <c r="C70" s="2" t="s">
        <v>16</v>
      </c>
      <c r="D70" s="2" t="s">
        <v>90</v>
      </c>
      <c r="E70" s="2" t="s">
        <v>90</v>
      </c>
      <c r="F70" s="2" t="s">
        <v>89</v>
      </c>
      <c r="G70" s="2" t="s">
        <v>89</v>
      </c>
      <c r="H70" s="2" t="s">
        <v>89</v>
      </c>
      <c r="I70" s="2" t="s">
        <v>89</v>
      </c>
      <c r="J70" s="2" t="s">
        <v>89</v>
      </c>
      <c r="K70" s="2" t="s">
        <v>90</v>
      </c>
      <c r="L70" s="2" t="s">
        <v>90</v>
      </c>
      <c r="M70" s="2" t="s">
        <v>90</v>
      </c>
      <c r="N70" s="2" t="s">
        <v>90</v>
      </c>
      <c r="O70" s="2" t="s">
        <v>90</v>
      </c>
      <c r="P70" s="2" t="s">
        <v>90</v>
      </c>
      <c r="Q70" s="2" t="s">
        <v>90</v>
      </c>
      <c r="R70" s="2" t="str">
        <f t="shared" si="1"/>
        <v>Porra fútbol</v>
      </c>
    </row>
    <row r="71" ht="12.75" customHeight="1">
      <c r="A71" s="3" t="s">
        <v>91</v>
      </c>
      <c r="B71" s="2" t="s">
        <v>16</v>
      </c>
      <c r="C71" s="2" t="s">
        <v>17</v>
      </c>
      <c r="D71" s="2" t="s">
        <v>90</v>
      </c>
      <c r="E71" s="2" t="s">
        <v>90</v>
      </c>
      <c r="F71" s="2" t="s">
        <v>17</v>
      </c>
      <c r="G71" s="2" t="s">
        <v>90</v>
      </c>
      <c r="H71" s="2" t="s">
        <v>89</v>
      </c>
      <c r="I71" s="2" t="s">
        <v>89</v>
      </c>
      <c r="J71" s="2" t="s">
        <v>15</v>
      </c>
      <c r="K71" s="2" t="s">
        <v>90</v>
      </c>
      <c r="L71" s="2" t="s">
        <v>90</v>
      </c>
      <c r="M71" s="2" t="s">
        <v>90</v>
      </c>
      <c r="N71" s="2" t="s">
        <v>90</v>
      </c>
      <c r="O71" s="2" t="s">
        <v>89</v>
      </c>
      <c r="P71" s="2" t="s">
        <v>89</v>
      </c>
      <c r="Q71" s="2" t="s">
        <v>90</v>
      </c>
      <c r="R71" s="2" t="str">
        <f t="shared" si="1"/>
        <v>Catán</v>
      </c>
    </row>
    <row r="72" ht="12.75" customHeight="1">
      <c r="A72" s="3" t="s">
        <v>410</v>
      </c>
      <c r="B72" s="2" t="s">
        <v>16</v>
      </c>
      <c r="C72" s="2" t="s">
        <v>15</v>
      </c>
      <c r="D72" s="2" t="s">
        <v>90</v>
      </c>
      <c r="E72" s="2" t="s">
        <v>90</v>
      </c>
      <c r="F72" s="2" t="s">
        <v>89</v>
      </c>
      <c r="G72" s="2" t="s">
        <v>89</v>
      </c>
      <c r="H72" s="2" t="s">
        <v>89</v>
      </c>
      <c r="I72" s="2" t="s">
        <v>17</v>
      </c>
      <c r="J72" s="2" t="s">
        <v>89</v>
      </c>
      <c r="K72" s="2" t="s">
        <v>90</v>
      </c>
      <c r="L72" s="2" t="s">
        <v>90</v>
      </c>
      <c r="M72" s="2" t="s">
        <v>90</v>
      </c>
      <c r="N72" s="2" t="s">
        <v>90</v>
      </c>
      <c r="O72" s="2" t="s">
        <v>90</v>
      </c>
      <c r="P72" s="2" t="s">
        <v>90</v>
      </c>
      <c r="Q72" s="2" t="s">
        <v>90</v>
      </c>
      <c r="R72" s="2" t="str">
        <f t="shared" si="1"/>
        <v>Lanzar cacahuete</v>
      </c>
    </row>
    <row r="73" ht="12.75" customHeight="1">
      <c r="A73" s="3" t="s">
        <v>389</v>
      </c>
      <c r="B73" s="2" t="s">
        <v>89</v>
      </c>
      <c r="C73" s="2" t="s">
        <v>89</v>
      </c>
      <c r="D73" s="2" t="s">
        <v>90</v>
      </c>
      <c r="E73" s="2" t="s">
        <v>90</v>
      </c>
      <c r="F73" s="2" t="s">
        <v>16</v>
      </c>
      <c r="G73" s="2" t="s">
        <v>90</v>
      </c>
      <c r="H73" s="2" t="s">
        <v>16</v>
      </c>
      <c r="I73" s="2" t="s">
        <v>89</v>
      </c>
      <c r="J73" s="2" t="s">
        <v>16</v>
      </c>
      <c r="K73" s="2" t="s">
        <v>90</v>
      </c>
      <c r="L73" s="2" t="s">
        <v>90</v>
      </c>
      <c r="M73" s="2" t="s">
        <v>90</v>
      </c>
      <c r="N73" s="2" t="s">
        <v>90</v>
      </c>
      <c r="O73" s="2" t="s">
        <v>90</v>
      </c>
      <c r="P73" s="2" t="s">
        <v>90</v>
      </c>
      <c r="Q73" s="2" t="s">
        <v>90</v>
      </c>
      <c r="R73" s="2" t="str">
        <f t="shared" si="1"/>
        <v>Mentiroso</v>
      </c>
    </row>
    <row r="74" ht="12.75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customHeight="1"/>
    <row r="100" ht="12.75" customHeight="1">
      <c r="A100" s="2" t="s">
        <v>89</v>
      </c>
      <c r="B100" s="3">
        <f t="array" ref="B100">SUM(IF(B2:B99="v",1))</f>
        <v>19</v>
      </c>
      <c r="C100" s="3">
        <f t="array" ref="C100">SUM(IF(C2:C99="v",1))</f>
        <v>24</v>
      </c>
      <c r="D100" s="3">
        <f t="array" ref="D100">SUM(IF(D2:D99="v",1))</f>
        <v>0</v>
      </c>
      <c r="E100" s="3">
        <f t="array" ref="E100">SUM(IF(E2:E99="v",1))</f>
        <v>10</v>
      </c>
      <c r="F100" s="3">
        <f t="array" ref="F100">SUM(IF(F2:F99="v",1))</f>
        <v>21</v>
      </c>
      <c r="G100" s="3">
        <f t="array" ref="G100">SUM(IF(G2:G99="v",1))</f>
        <v>15</v>
      </c>
      <c r="H100" s="3">
        <f t="array" ref="H100">SUM(IF(H2:H99="v",1))</f>
        <v>29</v>
      </c>
      <c r="I100" s="3">
        <f t="array" ref="I100">SUM(IF(I2:I99="v",1))</f>
        <v>25</v>
      </c>
      <c r="J100" s="3">
        <f t="array" ref="J100">SUM(IF(J2:J99="v",1))</f>
        <v>40</v>
      </c>
      <c r="K100" s="3">
        <f t="array" ref="K100">SUM(IF(K2:K99="v",1))</f>
        <v>0</v>
      </c>
      <c r="L100" s="3">
        <f t="array" ref="L100">SUM(IF(L2:L99="v",1))</f>
        <v>4</v>
      </c>
      <c r="M100" s="3">
        <f t="array" ref="M100">SUM(IF(M2:M99="v",1))</f>
        <v>0</v>
      </c>
      <c r="N100" s="3">
        <f t="array" ref="N100">SUM(IF(N2:N99="v",1))</f>
        <v>0</v>
      </c>
      <c r="O100" s="3">
        <f t="array" ref="O100">SUM(IF(O2:O99="v",1))</f>
        <v>3</v>
      </c>
      <c r="P100" s="3">
        <f t="array" ref="P100">SUM(IF(P2:P99="v",1))</f>
        <v>2</v>
      </c>
      <c r="Q100" s="3">
        <f t="array" ref="Q100">SUM(IF(Q2:Q99="v",1))</f>
        <v>10</v>
      </c>
      <c r="R100" s="2" t="s">
        <v>89</v>
      </c>
    </row>
    <row r="101" ht="12.75" customHeight="1">
      <c r="A101" s="2" t="s">
        <v>90</v>
      </c>
      <c r="B101" s="3">
        <f t="array" ref="B101">SUM(IF(B2:B99="x",1))</f>
        <v>7</v>
      </c>
      <c r="C101" s="3">
        <f t="array" ref="C101">SUM(IF(C2:C99="x",1))</f>
        <v>23</v>
      </c>
      <c r="D101" s="3">
        <f t="array" ref="D101">SUM(IF(D2:D99="x",1))</f>
        <v>72</v>
      </c>
      <c r="E101" s="3">
        <f t="array" ref="E101">SUM(IF(E2:E99="x",1))</f>
        <v>47</v>
      </c>
      <c r="F101" s="3">
        <f t="array" ref="F101">SUM(IF(F2:F99="x",1))</f>
        <v>2</v>
      </c>
      <c r="G101" s="3">
        <f t="array" ref="G101">SUM(IF(G2:G99="x",1))</f>
        <v>44</v>
      </c>
      <c r="H101" s="3">
        <f t="array" ref="H101">SUM(IF(H2:H99="x",1))</f>
        <v>16</v>
      </c>
      <c r="I101" s="3">
        <f t="array" ref="I101">SUM(IF(I2:I99="x",1))</f>
        <v>17</v>
      </c>
      <c r="J101" s="3">
        <f t="array" ref="J101">SUM(IF(J2:J99="x",1))</f>
        <v>5</v>
      </c>
      <c r="K101" s="3">
        <f t="array" ref="K101">SUM(IF(K2:K99="x",1))</f>
        <v>72</v>
      </c>
      <c r="L101" s="3">
        <f t="array" ref="L101">SUM(IF(L2:L99="x",1))</f>
        <v>66</v>
      </c>
      <c r="M101" s="3">
        <f t="array" ref="M101">SUM(IF(M2:M99="x",1))</f>
        <v>72</v>
      </c>
      <c r="N101" s="3">
        <f t="array" ref="N101">SUM(IF(N2:N99="x",1))</f>
        <v>72</v>
      </c>
      <c r="O101" s="3">
        <f t="array" ref="O101">SUM(IF(O2:O99="x",1))</f>
        <v>69</v>
      </c>
      <c r="P101" s="3">
        <f t="array" ref="P101">SUM(IF(P2:P99="x",1))</f>
        <v>70</v>
      </c>
      <c r="Q101" s="3">
        <f t="array" ref="Q101">SUM(IF(Q2:Q99="x",1))</f>
        <v>55</v>
      </c>
      <c r="R101" s="2" t="s">
        <v>90</v>
      </c>
    </row>
    <row r="102" ht="12.75" customHeight="1">
      <c r="A102" s="2" t="s">
        <v>128</v>
      </c>
      <c r="B102" s="3">
        <f t="shared" ref="B102:Q102" si="2">B100+B103+B104+B105</f>
        <v>65</v>
      </c>
      <c r="C102" s="3">
        <f t="shared" si="2"/>
        <v>49</v>
      </c>
      <c r="D102" s="3">
        <f t="shared" si="2"/>
        <v>0</v>
      </c>
      <c r="E102" s="3">
        <f t="shared" si="2"/>
        <v>25</v>
      </c>
      <c r="F102" s="3">
        <f t="shared" si="2"/>
        <v>70</v>
      </c>
      <c r="G102" s="3">
        <f t="shared" si="2"/>
        <v>28</v>
      </c>
      <c r="H102" s="3">
        <f t="shared" si="2"/>
        <v>56</v>
      </c>
      <c r="I102" s="3">
        <f t="shared" si="2"/>
        <v>55</v>
      </c>
      <c r="J102" s="3">
        <f t="shared" si="2"/>
        <v>67</v>
      </c>
      <c r="K102" s="3">
        <f t="shared" si="2"/>
        <v>0</v>
      </c>
      <c r="L102" s="3">
        <f t="shared" si="2"/>
        <v>6</v>
      </c>
      <c r="M102" s="3">
        <f t="shared" si="2"/>
        <v>0</v>
      </c>
      <c r="N102" s="3">
        <f t="shared" si="2"/>
        <v>0</v>
      </c>
      <c r="O102" s="3">
        <f t="shared" si="2"/>
        <v>3</v>
      </c>
      <c r="P102" s="3">
        <f t="shared" si="2"/>
        <v>2</v>
      </c>
      <c r="Q102" s="3">
        <f t="shared" si="2"/>
        <v>17</v>
      </c>
      <c r="R102" s="2" t="s">
        <v>128</v>
      </c>
    </row>
    <row r="103" ht="12.75" customHeight="1">
      <c r="A103" s="2" t="s">
        <v>17</v>
      </c>
      <c r="B103" s="3">
        <f t="array" ref="B103">SUM(IF(B$2:B$99=$A103,1))</f>
        <v>11</v>
      </c>
      <c r="C103" s="3">
        <f t="array" ref="C103">SUM(IF(C$2:C$99=$A103,1))</f>
        <v>8</v>
      </c>
      <c r="D103" s="3">
        <f t="array" ref="D103">SUM(IF(D$2:D$99=$A103,1))</f>
        <v>0</v>
      </c>
      <c r="E103" s="3">
        <f t="array" ref="E103">SUM(IF(E$2:E$99=$A103,1))</f>
        <v>2</v>
      </c>
      <c r="F103" s="3">
        <f t="array" ref="F103">SUM(IF(F$2:F$99=$A103,1))</f>
        <v>10</v>
      </c>
      <c r="G103" s="3">
        <f t="array" ref="G103">SUM(IF(G$2:G$99=$A103,1))</f>
        <v>2</v>
      </c>
      <c r="H103" s="3">
        <f t="array" ref="H103">SUM(IF(H$2:H$99=$A103,1))</f>
        <v>7</v>
      </c>
      <c r="I103" s="3">
        <f t="array" ref="I103">SUM(IF(I$2:I$99=$A103,1))</f>
        <v>7</v>
      </c>
      <c r="J103" s="3">
        <f t="array" ref="J103">SUM(IF(J$2:J$99=$A103,1))</f>
        <v>7</v>
      </c>
      <c r="K103" s="3">
        <f t="array" ref="K103">SUM(IF(K$2:K$99=$A103,1))</f>
        <v>0</v>
      </c>
      <c r="L103" s="3">
        <f t="array" ref="L103">SUM(IF(L$2:L$99=$A103,1))</f>
        <v>1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  <c r="Q103" s="3">
        <f t="array" ref="Q103">SUM(IF(Q$2:Q$99=$A103,1))</f>
        <v>1</v>
      </c>
      <c r="R103" s="2" t="s">
        <v>17</v>
      </c>
    </row>
    <row r="104" ht="12.75" customHeight="1">
      <c r="A104" s="2" t="s">
        <v>15</v>
      </c>
      <c r="B104" s="3">
        <f t="array" ref="B104">SUM(IF(B$2:B$99=$A104,1))</f>
        <v>13</v>
      </c>
      <c r="C104" s="3">
        <f t="array" ref="C104">SUM(IF(C$2:C$99=$A104,1))</f>
        <v>10</v>
      </c>
      <c r="D104" s="3">
        <f t="array" ref="D104">SUM(IF(D$2:D$99=$A104,1))</f>
        <v>0</v>
      </c>
      <c r="E104" s="3">
        <f t="array" ref="E104">SUM(IF(E$2:E$99=$A104,1))</f>
        <v>5</v>
      </c>
      <c r="F104" s="3">
        <f t="array" ref="F104">SUM(IF(F$2:F$99=$A104,1))</f>
        <v>16</v>
      </c>
      <c r="G104" s="3">
        <f t="array" ref="G104">SUM(IF(G$2:G$99=$A104,1))</f>
        <v>6</v>
      </c>
      <c r="H104" s="3">
        <f t="array" ref="H104">SUM(IF(H$2:H$99=$A104,1))</f>
        <v>9</v>
      </c>
      <c r="I104" s="3">
        <f t="array" ref="I104">SUM(IF(I$2:I$99=$A104,1))</f>
        <v>8</v>
      </c>
      <c r="J104" s="3">
        <f t="array" ref="J104">SUM(IF(J$2:J$99=$A104,1))</f>
        <v>13</v>
      </c>
      <c r="K104" s="3">
        <f t="array" ref="K104">SUM(IF(K$2:K$99=$A104,1))</f>
        <v>0</v>
      </c>
      <c r="L104" s="3">
        <f t="array" ref="L104">SUM(IF(L$2:L$99=$A104,1))</f>
        <v>0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0</v>
      </c>
      <c r="P104" s="3">
        <f t="array" ref="P104">SUM(IF(P$2:P$99=$A104,1))</f>
        <v>0</v>
      </c>
      <c r="Q104" s="3">
        <f t="array" ref="Q104">SUM(IF(Q$2:Q$99=$A104,1))</f>
        <v>4</v>
      </c>
      <c r="R104" s="2" t="s">
        <v>15</v>
      </c>
    </row>
    <row r="105" ht="12.75" customHeight="1">
      <c r="A105" s="2" t="s">
        <v>16</v>
      </c>
      <c r="B105" s="3">
        <f t="array" ref="B105">SUM(IF(B$2:B$99=$A105,1))</f>
        <v>22</v>
      </c>
      <c r="C105" s="3">
        <f t="array" ref="C105">SUM(IF(C$2:C$99=$A105,1))</f>
        <v>7</v>
      </c>
      <c r="D105" s="3">
        <f t="array" ref="D105">SUM(IF(D$2:D$99=$A105,1))</f>
        <v>0</v>
      </c>
      <c r="E105" s="3">
        <f t="array" ref="E105">SUM(IF(E$2:E$99=$A105,1))</f>
        <v>8</v>
      </c>
      <c r="F105" s="3">
        <f t="array" ref="F105">SUM(IF(F$2:F$99=$A105,1))</f>
        <v>23</v>
      </c>
      <c r="G105" s="3">
        <f t="array" ref="G105">SUM(IF(G$2:G$99=$A105,1))</f>
        <v>5</v>
      </c>
      <c r="H105" s="3">
        <f t="array" ref="H105">SUM(IF(H$2:H$99=$A105,1))</f>
        <v>11</v>
      </c>
      <c r="I105" s="3">
        <f t="array" ref="I105">SUM(IF(I$2:I$99=$A105,1))</f>
        <v>15</v>
      </c>
      <c r="J105" s="3">
        <f t="array" ref="J105">SUM(IF(J$2:J$99=$A105,1))</f>
        <v>7</v>
      </c>
      <c r="K105" s="3">
        <f t="array" ref="K105">SUM(IF(K$2:K$99=$A105,1))</f>
        <v>0</v>
      </c>
      <c r="L105" s="3">
        <f t="array" ref="L105">SUM(IF(L$2:L$99=$A105,1))</f>
        <v>1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0</v>
      </c>
      <c r="P105" s="3">
        <f t="array" ref="P105">SUM(IF(P$2:P$99=$A105,1))</f>
        <v>0</v>
      </c>
      <c r="Q105" s="3">
        <f t="array" ref="Q105">SUM(IF(Q$2:Q$99=$A105,1))</f>
        <v>2</v>
      </c>
      <c r="R105" s="2" t="s">
        <v>16</v>
      </c>
    </row>
    <row r="106" ht="12.75" customHeight="1">
      <c r="A106" s="4" t="s">
        <v>129</v>
      </c>
      <c r="B106" s="4">
        <f t="shared" ref="B106:Q106" si="3">B103+B104*2+B105*3</f>
        <v>103</v>
      </c>
      <c r="C106" s="4">
        <f t="shared" si="3"/>
        <v>49</v>
      </c>
      <c r="D106" s="4">
        <f t="shared" si="3"/>
        <v>0</v>
      </c>
      <c r="E106" s="4">
        <f t="shared" si="3"/>
        <v>36</v>
      </c>
      <c r="F106" s="4">
        <f t="shared" si="3"/>
        <v>111</v>
      </c>
      <c r="G106" s="4">
        <f t="shared" si="3"/>
        <v>29</v>
      </c>
      <c r="H106" s="4">
        <f t="shared" si="3"/>
        <v>58</v>
      </c>
      <c r="I106" s="4">
        <f t="shared" si="3"/>
        <v>68</v>
      </c>
      <c r="J106" s="4">
        <f t="shared" si="3"/>
        <v>54</v>
      </c>
      <c r="K106" s="4">
        <f t="shared" si="3"/>
        <v>0</v>
      </c>
      <c r="L106" s="4">
        <f t="shared" si="3"/>
        <v>4</v>
      </c>
      <c r="M106" s="4">
        <f t="shared" si="3"/>
        <v>0</v>
      </c>
      <c r="N106" s="4">
        <f t="shared" si="3"/>
        <v>0</v>
      </c>
      <c r="O106" s="4">
        <f t="shared" si="3"/>
        <v>0</v>
      </c>
      <c r="P106" s="4">
        <f t="shared" si="3"/>
        <v>0</v>
      </c>
      <c r="Q106" s="4">
        <f t="shared" si="3"/>
        <v>15</v>
      </c>
      <c r="R106" s="4" t="s">
        <v>129</v>
      </c>
    </row>
    <row r="107" ht="12.75" customHeight="1">
      <c r="A107" s="2" t="s">
        <v>130</v>
      </c>
      <c r="B107" s="11">
        <f t="shared" ref="B107:Q107" si="4">IF(B100+B103+B104+B105&lt;&gt;0,B106/(B100+B103+B104+B105),0)</f>
        <v>1.584615385</v>
      </c>
      <c r="C107" s="11">
        <f t="shared" si="4"/>
        <v>1</v>
      </c>
      <c r="D107" s="11">
        <f t="shared" si="4"/>
        <v>0</v>
      </c>
      <c r="E107" s="11">
        <f t="shared" si="4"/>
        <v>1.44</v>
      </c>
      <c r="F107" s="11">
        <f t="shared" si="4"/>
        <v>1.585714286</v>
      </c>
      <c r="G107" s="11">
        <f t="shared" si="4"/>
        <v>1.035714286</v>
      </c>
      <c r="H107" s="11">
        <f t="shared" si="4"/>
        <v>1.035714286</v>
      </c>
      <c r="I107" s="11">
        <f t="shared" si="4"/>
        <v>1.236363636</v>
      </c>
      <c r="J107" s="11">
        <f t="shared" si="4"/>
        <v>0.8059701493</v>
      </c>
      <c r="K107" s="11">
        <f t="shared" si="4"/>
        <v>0</v>
      </c>
      <c r="L107" s="11">
        <f t="shared" si="4"/>
        <v>0.6666666667</v>
      </c>
      <c r="M107" s="11">
        <f t="shared" si="4"/>
        <v>0</v>
      </c>
      <c r="N107" s="11">
        <f t="shared" si="4"/>
        <v>0</v>
      </c>
      <c r="O107" s="11">
        <f t="shared" si="4"/>
        <v>0</v>
      </c>
      <c r="P107" s="11">
        <f t="shared" si="4"/>
        <v>0</v>
      </c>
      <c r="Q107" s="11">
        <f t="shared" si="4"/>
        <v>0.8823529412</v>
      </c>
      <c r="R107" s="2" t="s">
        <v>130</v>
      </c>
    </row>
    <row r="108" ht="12.75" customHeight="1">
      <c r="A108" s="2" t="s">
        <v>363</v>
      </c>
      <c r="B108" s="2">
        <f t="shared" ref="B108:Q108" si="5">B105+B104+B103</f>
        <v>46</v>
      </c>
      <c r="C108" s="2">
        <f t="shared" si="5"/>
        <v>25</v>
      </c>
      <c r="D108" s="2">
        <f t="shared" si="5"/>
        <v>0</v>
      </c>
      <c r="E108" s="2">
        <f t="shared" si="5"/>
        <v>15</v>
      </c>
      <c r="F108" s="2">
        <f t="shared" si="5"/>
        <v>49</v>
      </c>
      <c r="G108" s="2">
        <f t="shared" si="5"/>
        <v>13</v>
      </c>
      <c r="H108" s="2">
        <f t="shared" si="5"/>
        <v>27</v>
      </c>
      <c r="I108" s="2">
        <f t="shared" si="5"/>
        <v>30</v>
      </c>
      <c r="J108" s="2">
        <f t="shared" si="5"/>
        <v>27</v>
      </c>
      <c r="K108" s="2">
        <f t="shared" si="5"/>
        <v>0</v>
      </c>
      <c r="L108" s="2">
        <f t="shared" si="5"/>
        <v>2</v>
      </c>
      <c r="M108" s="2">
        <f t="shared" si="5"/>
        <v>0</v>
      </c>
      <c r="N108" s="2">
        <f t="shared" si="5"/>
        <v>0</v>
      </c>
      <c r="O108" s="2">
        <f t="shared" si="5"/>
        <v>0</v>
      </c>
      <c r="P108" s="2">
        <f t="shared" si="5"/>
        <v>0</v>
      </c>
      <c r="Q108" s="2">
        <f t="shared" si="5"/>
        <v>7</v>
      </c>
      <c r="R108" s="2" t="s">
        <v>363</v>
      </c>
    </row>
    <row r="109" ht="12.75" customHeight="1">
      <c r="A109" s="2" t="s">
        <v>131</v>
      </c>
      <c r="B109" s="3">
        <f t="shared" ref="B109:Q109" si="6">B102+B101</f>
        <v>72</v>
      </c>
      <c r="C109" s="3">
        <f t="shared" si="6"/>
        <v>72</v>
      </c>
      <c r="D109" s="3">
        <f t="shared" si="6"/>
        <v>72</v>
      </c>
      <c r="E109" s="3">
        <f t="shared" si="6"/>
        <v>72</v>
      </c>
      <c r="F109" s="3">
        <f t="shared" si="6"/>
        <v>72</v>
      </c>
      <c r="G109" s="3">
        <f t="shared" si="6"/>
        <v>72</v>
      </c>
      <c r="H109" s="3">
        <f t="shared" si="6"/>
        <v>72</v>
      </c>
      <c r="I109" s="3">
        <f t="shared" si="6"/>
        <v>72</v>
      </c>
      <c r="J109" s="3">
        <f t="shared" si="6"/>
        <v>72</v>
      </c>
      <c r="K109" s="3">
        <f t="shared" si="6"/>
        <v>72</v>
      </c>
      <c r="L109" s="3">
        <f t="shared" si="6"/>
        <v>72</v>
      </c>
      <c r="M109" s="3">
        <f t="shared" si="6"/>
        <v>72</v>
      </c>
      <c r="N109" s="3">
        <f t="shared" si="6"/>
        <v>72</v>
      </c>
      <c r="O109" s="3">
        <f t="shared" si="6"/>
        <v>72</v>
      </c>
      <c r="P109" s="3">
        <f t="shared" si="6"/>
        <v>72</v>
      </c>
      <c r="Q109" s="3">
        <f t="shared" si="6"/>
        <v>72</v>
      </c>
      <c r="R109" s="2" t="s">
        <v>131</v>
      </c>
    </row>
    <row r="110" ht="12.75" customHeight="1"/>
    <row r="111" ht="12.75" customHeight="1">
      <c r="A111" s="2" t="s">
        <v>132</v>
      </c>
      <c r="B111" s="3">
        <f>B106+G106+J106+I106</f>
        <v>254</v>
      </c>
      <c r="D111" s="2" t="s">
        <v>133</v>
      </c>
      <c r="E111" s="12">
        <f>B106+G106</f>
        <v>132</v>
      </c>
      <c r="G111" s="2" t="s">
        <v>134</v>
      </c>
      <c r="H111" s="3">
        <f>I106+J106</f>
        <v>122</v>
      </c>
      <c r="J111" s="2" t="s">
        <v>135</v>
      </c>
      <c r="K111" s="3">
        <f>B102+G102+I102+J102</f>
        <v>215</v>
      </c>
      <c r="M111" s="2" t="s">
        <v>136</v>
      </c>
      <c r="N111" s="11">
        <f t="shared" ref="N111:N113" si="7">B111/K111</f>
        <v>1.181395349</v>
      </c>
      <c r="R111" s="2" t="s">
        <v>132</v>
      </c>
    </row>
    <row r="112" ht="12.75" customHeight="1">
      <c r="A112" s="2" t="s">
        <v>137</v>
      </c>
      <c r="B112" s="3">
        <f>C106+E106+H106+L106+M106</f>
        <v>147</v>
      </c>
      <c r="D112" s="2" t="s">
        <v>138</v>
      </c>
      <c r="E112" s="3">
        <f>M106+L106</f>
        <v>4</v>
      </c>
      <c r="G112" s="2" t="s">
        <v>139</v>
      </c>
      <c r="H112" s="3">
        <f>C106+E106+H106</f>
        <v>143</v>
      </c>
      <c r="J112" s="2" t="s">
        <v>135</v>
      </c>
      <c r="K112" s="3">
        <f>C102+E102+H102+L102+M102</f>
        <v>136</v>
      </c>
      <c r="M112" s="2" t="s">
        <v>136</v>
      </c>
      <c r="N112" s="11">
        <f t="shared" si="7"/>
        <v>1.080882353</v>
      </c>
      <c r="R112" s="2" t="s">
        <v>137</v>
      </c>
    </row>
    <row r="113" ht="12.75" customHeight="1">
      <c r="A113" s="2" t="s">
        <v>140</v>
      </c>
      <c r="B113" s="3">
        <f>D106+F106+K106+N106</f>
        <v>111</v>
      </c>
      <c r="D113" s="2" t="s">
        <v>141</v>
      </c>
      <c r="E113" s="3">
        <f>K106+N106</f>
        <v>0</v>
      </c>
      <c r="G113" s="2" t="s">
        <v>142</v>
      </c>
      <c r="H113" s="3">
        <f>D106+F106</f>
        <v>111</v>
      </c>
      <c r="J113" s="2" t="s">
        <v>135</v>
      </c>
      <c r="K113" s="3">
        <f>D102+F102+K102+N102</f>
        <v>70</v>
      </c>
      <c r="M113" s="2" t="s">
        <v>136</v>
      </c>
      <c r="N113" s="11">
        <f t="shared" si="7"/>
        <v>1.585714286</v>
      </c>
      <c r="R113" s="2" t="s">
        <v>140</v>
      </c>
    </row>
    <row r="114" ht="12.75" customHeight="1">
      <c r="B114" s="3"/>
      <c r="E114" s="3"/>
      <c r="H114" s="3"/>
      <c r="K114" s="3"/>
      <c r="N114" s="11"/>
    </row>
    <row r="115" ht="12.75" customHeight="1">
      <c r="A115" s="20"/>
      <c r="B115" s="3" t="str">
        <f t="shared" ref="B115:Q115" si="8">B1</f>
        <v>David</v>
      </c>
      <c r="C115" s="3" t="str">
        <f t="shared" si="8"/>
        <v>Carlos</v>
      </c>
      <c r="D115" s="3" t="str">
        <f t="shared" si="8"/>
        <v>Laura</v>
      </c>
      <c r="E115" s="3" t="str">
        <f t="shared" si="8"/>
        <v>Jorge</v>
      </c>
      <c r="F115" s="3" t="str">
        <f t="shared" si="8"/>
        <v>Sergio</v>
      </c>
      <c r="G115" s="3" t="str">
        <f t="shared" si="8"/>
        <v>Poli</v>
      </c>
      <c r="H115" s="3" t="str">
        <f t="shared" si="8"/>
        <v>Nuria</v>
      </c>
      <c r="I115" s="3" t="str">
        <f t="shared" si="8"/>
        <v>Sara</v>
      </c>
      <c r="J115" s="3" t="str">
        <f t="shared" si="8"/>
        <v>Dario</v>
      </c>
      <c r="K115" s="3" t="str">
        <f t="shared" si="8"/>
        <v>Pedro</v>
      </c>
      <c r="L115" s="3" t="str">
        <f t="shared" si="8"/>
        <v>Inés</v>
      </c>
      <c r="M115" s="3" t="str">
        <f t="shared" si="8"/>
        <v>Chema</v>
      </c>
      <c r="N115" s="3" t="str">
        <f t="shared" si="8"/>
        <v>Maite</v>
      </c>
      <c r="O115" s="3" t="str">
        <f t="shared" si="8"/>
        <v>Anuncia</v>
      </c>
      <c r="P115" s="3" t="str">
        <f t="shared" si="8"/>
        <v>Roberto</v>
      </c>
      <c r="Q115" s="3" t="str">
        <f t="shared" si="8"/>
        <v>Hana</v>
      </c>
      <c r="R115" s="20"/>
    </row>
    <row r="116" ht="12.75" customHeight="1"/>
    <row r="117" ht="12.75" customHeight="1">
      <c r="A117" s="21" t="s">
        <v>143</v>
      </c>
      <c r="B117" s="21">
        <f>H111+H112+H113</f>
        <v>376</v>
      </c>
      <c r="E117" s="21" t="s">
        <v>144</v>
      </c>
      <c r="F117" s="22">
        <f>E111+E112+E113</f>
        <v>136</v>
      </c>
    </row>
    <row r="118" ht="12.75" customHeight="1"/>
    <row r="119" ht="12.75" customHeight="1">
      <c r="A119" s="25" t="s">
        <v>145</v>
      </c>
      <c r="B119" s="26" t="s">
        <v>4</v>
      </c>
      <c r="C119" s="27" t="s">
        <v>411</v>
      </c>
      <c r="D119" s="27">
        <f>F106</f>
        <v>111</v>
      </c>
      <c r="E119" s="28" t="s">
        <v>412</v>
      </c>
      <c r="F119" s="2" t="s">
        <v>4</v>
      </c>
      <c r="Q119" s="5" t="str">
        <f>B119</f>
        <v>Sergio</v>
      </c>
      <c r="R119" s="5" t="s">
        <v>145</v>
      </c>
    </row>
    <row r="120" ht="12.75" customHeight="1"/>
    <row r="121" ht="12.75" customHeight="1">
      <c r="A121" s="2" t="s">
        <v>69</v>
      </c>
      <c r="O121" s="2" t="s">
        <v>310</v>
      </c>
      <c r="R121" s="2" t="s">
        <v>69</v>
      </c>
    </row>
    <row r="122" ht="12.75" customHeight="1">
      <c r="A122" s="2" t="s">
        <v>311</v>
      </c>
      <c r="B122" s="3">
        <f>B106+'2017'!B122</f>
        <v>740.75</v>
      </c>
      <c r="C122" s="3">
        <f>C106+'2017'!C122</f>
        <v>432.5</v>
      </c>
      <c r="D122" s="3">
        <f>D106+'2017'!D122</f>
        <v>338</v>
      </c>
      <c r="E122" s="3">
        <f>E106+'2017'!E122</f>
        <v>526.25</v>
      </c>
      <c r="F122" s="3">
        <f>F106+'2017'!F122</f>
        <v>726.25</v>
      </c>
      <c r="G122" s="3">
        <f>G106+'2017'!G122</f>
        <v>233</v>
      </c>
      <c r="H122" s="3">
        <f>H106+'2017'!H122</f>
        <v>264.25</v>
      </c>
      <c r="I122" s="3">
        <f>I106+'2017'!I122</f>
        <v>347.5</v>
      </c>
      <c r="J122" s="3">
        <f>J106+'2017'!J122</f>
        <v>289</v>
      </c>
      <c r="K122" s="3">
        <f>K106+'2017'!K122</f>
        <v>156</v>
      </c>
      <c r="L122" s="3">
        <f>L106+'2017'!L122</f>
        <v>36</v>
      </c>
      <c r="M122" s="3">
        <f>M106+'2017'!M122</f>
        <v>34</v>
      </c>
      <c r="N122" s="3">
        <f>N106+'2017'!N122</f>
        <v>12</v>
      </c>
      <c r="O122" s="3">
        <f>'2017'!O122+O106+P106</f>
        <v>38.25</v>
      </c>
      <c r="P122" s="2" t="s">
        <v>376</v>
      </c>
      <c r="Q122" s="2">
        <f>Q106+'2017'!Q122</f>
        <v>23</v>
      </c>
      <c r="R122" s="2" t="s">
        <v>311</v>
      </c>
    </row>
    <row r="123" ht="12.75" customHeight="1"/>
    <row r="124" ht="12.75" customHeight="1">
      <c r="A124" s="16" t="s">
        <v>85</v>
      </c>
      <c r="B124" s="16">
        <f>'2015'!B119</f>
        <v>3</v>
      </c>
      <c r="C124" s="16">
        <f>'2015'!C119</f>
        <v>2</v>
      </c>
      <c r="D124" s="16">
        <f>'2015'!D119</f>
        <v>0</v>
      </c>
      <c r="E124" s="16">
        <f>'2015'!E119</f>
        <v>1</v>
      </c>
      <c r="F124" s="16">
        <v>5.0</v>
      </c>
      <c r="G124" s="16">
        <f>'2015'!G119</f>
        <v>0</v>
      </c>
      <c r="H124" s="16">
        <f>'2015'!H119</f>
        <v>0</v>
      </c>
      <c r="I124" s="16">
        <f>'2015'!I119</f>
        <v>0</v>
      </c>
      <c r="J124" s="16">
        <f>'2015'!J119</f>
        <v>0</v>
      </c>
      <c r="K124" s="16">
        <f>'2015'!K119</f>
        <v>0</v>
      </c>
      <c r="L124" s="16">
        <f>'2015'!L119</f>
        <v>0</v>
      </c>
      <c r="M124" s="16">
        <f>'2015'!M119</f>
        <v>0</v>
      </c>
      <c r="N124" s="16">
        <f>'2015'!N119</f>
        <v>0</v>
      </c>
      <c r="O124" s="16">
        <f>'2015'!O119</f>
        <v>0</v>
      </c>
      <c r="P124" s="2" t="s">
        <v>376</v>
      </c>
      <c r="Q124" s="3">
        <v>0.0</v>
      </c>
      <c r="R124" s="16" t="s">
        <v>85</v>
      </c>
    </row>
    <row r="125" ht="12.75" customHeight="1"/>
    <row r="126" ht="12.75" customHeight="1">
      <c r="A126" s="3" t="s">
        <v>365</v>
      </c>
      <c r="C126" s="3">
        <f>'2017'!C126+B109</f>
        <v>528</v>
      </c>
    </row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R$1"/>
  <conditionalFormatting sqref="B100:Q107">
    <cfRule type="cellIs" dxfId="0" priority="1" stopIfTrue="1" operator="equal">
      <formula>"PLATA"</formula>
    </cfRule>
  </conditionalFormatting>
  <conditionalFormatting sqref="B100:Q107">
    <cfRule type="cellIs" dxfId="1" priority="2" stopIfTrue="1" operator="equal">
      <formula>"ORO"</formula>
    </cfRule>
  </conditionalFormatting>
  <conditionalFormatting sqref="B100:Q107">
    <cfRule type="cellIs" dxfId="2" priority="3" stopIfTrue="1" operator="equal">
      <formula>"BRONCE"</formula>
    </cfRule>
  </conditionalFormatting>
  <conditionalFormatting sqref="N111:N114">
    <cfRule type="cellIs" dxfId="0" priority="4" stopIfTrue="1" operator="equal">
      <formula>"PLATA"</formula>
    </cfRule>
  </conditionalFormatting>
  <conditionalFormatting sqref="N111:N114">
    <cfRule type="cellIs" dxfId="1" priority="5" stopIfTrue="1" operator="equal">
      <formula>"ORO"</formula>
    </cfRule>
  </conditionalFormatting>
  <conditionalFormatting sqref="N111:N114">
    <cfRule type="cellIs" dxfId="2" priority="6" stopIfTrue="1" operator="equal">
      <formula>"BRONCE"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0" width="10.75"/>
    <col customWidth="1" min="21" max="26" width="14.38"/>
  </cols>
  <sheetData>
    <row r="1" ht="12.75" customHeight="1">
      <c r="A1" s="24">
        <v>2019.0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150</v>
      </c>
      <c r="P1" s="16" t="s">
        <v>151</v>
      </c>
      <c r="Q1" s="2" t="s">
        <v>345</v>
      </c>
      <c r="R1" s="2" t="s">
        <v>413</v>
      </c>
      <c r="S1" s="2" t="s">
        <v>414</v>
      </c>
      <c r="T1" s="24">
        <f t="shared" ref="T1:T93" si="1">A1</f>
        <v>2019</v>
      </c>
    </row>
    <row r="2" ht="12.75" customHeight="1">
      <c r="A2" s="2" t="s">
        <v>415</v>
      </c>
      <c r="B2" s="2" t="s">
        <v>90</v>
      </c>
      <c r="C2" s="2" t="s">
        <v>90</v>
      </c>
      <c r="D2" s="2" t="s">
        <v>90</v>
      </c>
      <c r="E2" s="2" t="s">
        <v>90</v>
      </c>
      <c r="F2" s="2" t="s">
        <v>17</v>
      </c>
      <c r="G2" s="2" t="s">
        <v>90</v>
      </c>
      <c r="H2" s="2" t="s">
        <v>15</v>
      </c>
      <c r="I2" s="2" t="s">
        <v>90</v>
      </c>
      <c r="J2" s="2" t="s">
        <v>90</v>
      </c>
      <c r="K2" s="2" t="s">
        <v>90</v>
      </c>
      <c r="L2" s="2" t="s">
        <v>16</v>
      </c>
      <c r="M2" s="2" t="s">
        <v>90</v>
      </c>
      <c r="N2" s="2" t="s">
        <v>90</v>
      </c>
      <c r="O2" s="2" t="s">
        <v>89</v>
      </c>
      <c r="P2" s="2" t="s">
        <v>90</v>
      </c>
      <c r="Q2" s="2" t="s">
        <v>90</v>
      </c>
      <c r="R2" s="2" t="s">
        <v>90</v>
      </c>
      <c r="S2" s="2" t="s">
        <v>89</v>
      </c>
      <c r="T2" s="2" t="str">
        <f t="shared" si="1"/>
        <v>Carcassonne</v>
      </c>
    </row>
    <row r="3" ht="12.75" customHeight="1">
      <c r="A3" s="2" t="s">
        <v>416</v>
      </c>
      <c r="B3" s="2" t="s">
        <v>90</v>
      </c>
      <c r="C3" s="2" t="s">
        <v>90</v>
      </c>
      <c r="D3" s="2" t="s">
        <v>90</v>
      </c>
      <c r="E3" s="2" t="s">
        <v>90</v>
      </c>
      <c r="F3" s="2" t="s">
        <v>15</v>
      </c>
      <c r="G3" s="2" t="s">
        <v>90</v>
      </c>
      <c r="H3" s="2" t="s">
        <v>16</v>
      </c>
      <c r="I3" s="2" t="s">
        <v>90</v>
      </c>
      <c r="J3" s="2" t="s">
        <v>90</v>
      </c>
      <c r="K3" s="2" t="s">
        <v>90</v>
      </c>
      <c r="L3" s="2" t="s">
        <v>90</v>
      </c>
      <c r="M3" s="2" t="s">
        <v>90</v>
      </c>
      <c r="N3" s="2" t="s">
        <v>90</v>
      </c>
      <c r="O3" s="2" t="s">
        <v>17</v>
      </c>
      <c r="P3" s="2" t="s">
        <v>90</v>
      </c>
      <c r="Q3" s="2" t="s">
        <v>90</v>
      </c>
      <c r="R3" s="2" t="s">
        <v>90</v>
      </c>
      <c r="S3" s="2" t="s">
        <v>90</v>
      </c>
      <c r="T3" s="2" t="str">
        <f t="shared" si="1"/>
        <v>Chinchón</v>
      </c>
    </row>
    <row r="4" ht="12.75" customHeight="1">
      <c r="A4" s="2" t="s">
        <v>389</v>
      </c>
      <c r="B4" s="2" t="s">
        <v>90</v>
      </c>
      <c r="C4" s="2" t="s">
        <v>90</v>
      </c>
      <c r="D4" s="2" t="s">
        <v>90</v>
      </c>
      <c r="E4" s="2" t="s">
        <v>90</v>
      </c>
      <c r="F4" s="2" t="s">
        <v>16</v>
      </c>
      <c r="G4" s="2" t="s">
        <v>90</v>
      </c>
      <c r="H4" s="2" t="s">
        <v>15</v>
      </c>
      <c r="I4" s="2" t="s">
        <v>90</v>
      </c>
      <c r="J4" s="2" t="s">
        <v>90</v>
      </c>
      <c r="K4" s="2" t="s">
        <v>90</v>
      </c>
      <c r="L4" s="2" t="s">
        <v>90</v>
      </c>
      <c r="M4" s="2" t="s">
        <v>90</v>
      </c>
      <c r="N4" s="2" t="s">
        <v>90</v>
      </c>
      <c r="O4" s="2" t="s">
        <v>17</v>
      </c>
      <c r="P4" s="2" t="s">
        <v>90</v>
      </c>
      <c r="Q4" s="2" t="s">
        <v>90</v>
      </c>
      <c r="R4" s="2" t="s">
        <v>90</v>
      </c>
      <c r="S4" s="2" t="s">
        <v>90</v>
      </c>
      <c r="T4" s="2" t="str">
        <f t="shared" si="1"/>
        <v>Mentiroso</v>
      </c>
    </row>
    <row r="5" ht="12.75" customHeight="1">
      <c r="A5" s="2" t="s">
        <v>31</v>
      </c>
      <c r="B5" s="2" t="s">
        <v>90</v>
      </c>
      <c r="C5" s="2" t="s">
        <v>90</v>
      </c>
      <c r="D5" s="2" t="s">
        <v>90</v>
      </c>
      <c r="E5" s="2" t="s">
        <v>90</v>
      </c>
      <c r="F5" s="2" t="s">
        <v>15</v>
      </c>
      <c r="G5" s="2" t="s">
        <v>90</v>
      </c>
      <c r="H5" s="2" t="s">
        <v>17</v>
      </c>
      <c r="I5" s="2" t="s">
        <v>90</v>
      </c>
      <c r="J5" s="2" t="s">
        <v>90</v>
      </c>
      <c r="K5" s="2" t="s">
        <v>90</v>
      </c>
      <c r="L5" s="2" t="s">
        <v>90</v>
      </c>
      <c r="M5" s="2" t="s">
        <v>90</v>
      </c>
      <c r="N5" s="2" t="s">
        <v>90</v>
      </c>
      <c r="O5" s="2" t="s">
        <v>16</v>
      </c>
      <c r="P5" s="2" t="s">
        <v>90</v>
      </c>
      <c r="Q5" s="2" t="s">
        <v>90</v>
      </c>
      <c r="R5" s="2" t="s">
        <v>90</v>
      </c>
      <c r="S5" s="2" t="s">
        <v>90</v>
      </c>
      <c r="T5" s="2" t="str">
        <f t="shared" si="1"/>
        <v>Dardos</v>
      </c>
    </row>
    <row r="6" ht="12.75" customHeight="1">
      <c r="A6" s="2" t="s">
        <v>42</v>
      </c>
      <c r="B6" s="2" t="s">
        <v>90</v>
      </c>
      <c r="C6" s="2" t="s">
        <v>90</v>
      </c>
      <c r="D6" s="2" t="s">
        <v>90</v>
      </c>
      <c r="E6" s="2" t="s">
        <v>90</v>
      </c>
      <c r="F6" s="2" t="s">
        <v>15</v>
      </c>
      <c r="G6" s="2" t="s">
        <v>90</v>
      </c>
      <c r="H6" s="2" t="s">
        <v>17</v>
      </c>
      <c r="I6" s="2" t="s">
        <v>90</v>
      </c>
      <c r="J6" s="2" t="s">
        <v>90</v>
      </c>
      <c r="K6" s="2" t="s">
        <v>90</v>
      </c>
      <c r="L6" s="2" t="s">
        <v>90</v>
      </c>
      <c r="M6" s="2" t="s">
        <v>90</v>
      </c>
      <c r="N6" s="2" t="s">
        <v>90</v>
      </c>
      <c r="O6" s="2" t="s">
        <v>16</v>
      </c>
      <c r="P6" s="2" t="s">
        <v>90</v>
      </c>
      <c r="Q6" s="2" t="s">
        <v>90</v>
      </c>
      <c r="R6" s="2" t="s">
        <v>90</v>
      </c>
      <c r="S6" s="2" t="s">
        <v>90</v>
      </c>
      <c r="T6" s="2" t="str">
        <f t="shared" si="1"/>
        <v>Cinquillo</v>
      </c>
    </row>
    <row r="7" ht="12.75" customHeight="1">
      <c r="A7" s="2" t="s">
        <v>42</v>
      </c>
      <c r="B7" s="2" t="s">
        <v>90</v>
      </c>
      <c r="C7" s="2" t="s">
        <v>90</v>
      </c>
      <c r="D7" s="2" t="s">
        <v>90</v>
      </c>
      <c r="E7" s="2" t="s">
        <v>90</v>
      </c>
      <c r="F7" s="2" t="s">
        <v>17</v>
      </c>
      <c r="G7" s="2" t="s">
        <v>90</v>
      </c>
      <c r="H7" s="2" t="s">
        <v>16</v>
      </c>
      <c r="I7" s="2" t="s">
        <v>90</v>
      </c>
      <c r="J7" s="2" t="s">
        <v>90</v>
      </c>
      <c r="K7" s="2" t="s">
        <v>90</v>
      </c>
      <c r="L7" s="2" t="s">
        <v>90</v>
      </c>
      <c r="M7" s="2" t="s">
        <v>90</v>
      </c>
      <c r="N7" s="2" t="s">
        <v>90</v>
      </c>
      <c r="O7" s="2" t="s">
        <v>15</v>
      </c>
      <c r="P7" s="2" t="s">
        <v>90</v>
      </c>
      <c r="Q7" s="2" t="s">
        <v>90</v>
      </c>
      <c r="R7" s="2" t="s">
        <v>90</v>
      </c>
      <c r="S7" s="2" t="s">
        <v>90</v>
      </c>
      <c r="T7" s="2" t="str">
        <f t="shared" si="1"/>
        <v>Cinquillo</v>
      </c>
    </row>
    <row r="8" ht="12.75" customHeight="1">
      <c r="A8" s="2" t="s">
        <v>42</v>
      </c>
      <c r="B8" s="2" t="s">
        <v>90</v>
      </c>
      <c r="C8" s="2" t="s">
        <v>90</v>
      </c>
      <c r="D8" s="2" t="s">
        <v>90</v>
      </c>
      <c r="E8" s="2" t="s">
        <v>90</v>
      </c>
      <c r="F8" s="2" t="s">
        <v>16</v>
      </c>
      <c r="G8" s="2" t="s">
        <v>90</v>
      </c>
      <c r="H8" s="2" t="s">
        <v>17</v>
      </c>
      <c r="I8" s="2" t="s">
        <v>90</v>
      </c>
      <c r="J8" s="2" t="s">
        <v>90</v>
      </c>
      <c r="K8" s="2" t="s">
        <v>90</v>
      </c>
      <c r="L8" s="2" t="s">
        <v>90</v>
      </c>
      <c r="M8" s="2" t="s">
        <v>90</v>
      </c>
      <c r="N8" s="2" t="s">
        <v>90</v>
      </c>
      <c r="O8" s="2" t="s">
        <v>15</v>
      </c>
      <c r="P8" s="2" t="s">
        <v>90</v>
      </c>
      <c r="Q8" s="2" t="s">
        <v>90</v>
      </c>
      <c r="R8" s="2" t="s">
        <v>90</v>
      </c>
      <c r="S8" s="2" t="s">
        <v>90</v>
      </c>
      <c r="T8" s="2" t="str">
        <f t="shared" si="1"/>
        <v>Cinquillo</v>
      </c>
    </row>
    <row r="9" ht="12.75" customHeight="1">
      <c r="A9" s="2" t="s">
        <v>27</v>
      </c>
      <c r="B9" s="2" t="s">
        <v>90</v>
      </c>
      <c r="C9" s="2" t="s">
        <v>90</v>
      </c>
      <c r="D9" s="2" t="s">
        <v>90</v>
      </c>
      <c r="E9" s="2" t="s">
        <v>90</v>
      </c>
      <c r="F9" s="2" t="s">
        <v>15</v>
      </c>
      <c r="G9" s="2" t="s">
        <v>90</v>
      </c>
      <c r="H9" s="2" t="s">
        <v>16</v>
      </c>
      <c r="I9" s="2" t="s">
        <v>90</v>
      </c>
      <c r="J9" s="2" t="s">
        <v>90</v>
      </c>
      <c r="K9" s="2" t="s">
        <v>90</v>
      </c>
      <c r="L9" s="2" t="s">
        <v>90</v>
      </c>
      <c r="M9" s="2" t="s">
        <v>90</v>
      </c>
      <c r="N9" s="2" t="s">
        <v>90</v>
      </c>
      <c r="O9" s="2" t="s">
        <v>17</v>
      </c>
      <c r="P9" s="2" t="s">
        <v>90</v>
      </c>
      <c r="Q9" s="2" t="s">
        <v>90</v>
      </c>
      <c r="R9" s="2" t="s">
        <v>90</v>
      </c>
      <c r="S9" s="2" t="s">
        <v>90</v>
      </c>
      <c r="T9" s="2" t="str">
        <f t="shared" si="1"/>
        <v>Petanca</v>
      </c>
    </row>
    <row r="10" ht="12.75" customHeight="1">
      <c r="A10" s="2" t="s">
        <v>415</v>
      </c>
      <c r="B10" s="2" t="s">
        <v>90</v>
      </c>
      <c r="C10" s="2" t="s">
        <v>90</v>
      </c>
      <c r="D10" s="2" t="s">
        <v>90</v>
      </c>
      <c r="E10" s="2" t="s">
        <v>90</v>
      </c>
      <c r="F10" s="2" t="s">
        <v>16</v>
      </c>
      <c r="G10" s="2" t="s">
        <v>90</v>
      </c>
      <c r="H10" s="2" t="s">
        <v>15</v>
      </c>
      <c r="I10" s="2" t="s">
        <v>90</v>
      </c>
      <c r="J10" s="2" t="s">
        <v>90</v>
      </c>
      <c r="K10" s="2" t="s">
        <v>90</v>
      </c>
      <c r="L10" s="2" t="s">
        <v>90</v>
      </c>
      <c r="M10" s="2" t="s">
        <v>90</v>
      </c>
      <c r="N10" s="2" t="s">
        <v>90</v>
      </c>
      <c r="O10" s="2" t="s">
        <v>17</v>
      </c>
      <c r="P10" s="2" t="s">
        <v>90</v>
      </c>
      <c r="Q10" s="2" t="s">
        <v>90</v>
      </c>
      <c r="R10" s="2" t="s">
        <v>90</v>
      </c>
      <c r="S10" s="2" t="s">
        <v>90</v>
      </c>
      <c r="T10" s="2" t="str">
        <f t="shared" si="1"/>
        <v>Carcassonne</v>
      </c>
    </row>
    <row r="11" ht="12.75" customHeight="1">
      <c r="A11" s="2" t="s">
        <v>18</v>
      </c>
      <c r="B11" s="2" t="s">
        <v>16</v>
      </c>
      <c r="C11" s="2" t="s">
        <v>90</v>
      </c>
      <c r="D11" s="2" t="s">
        <v>90</v>
      </c>
      <c r="E11" s="2" t="s">
        <v>90</v>
      </c>
      <c r="F11" s="2" t="s">
        <v>16</v>
      </c>
      <c r="G11" s="2" t="s">
        <v>15</v>
      </c>
      <c r="H11" s="2" t="s">
        <v>90</v>
      </c>
      <c r="I11" s="2" t="s">
        <v>15</v>
      </c>
      <c r="J11" s="2" t="s">
        <v>16</v>
      </c>
      <c r="K11" s="2" t="s">
        <v>90</v>
      </c>
      <c r="L11" s="2" t="s">
        <v>90</v>
      </c>
      <c r="M11" s="2" t="s">
        <v>90</v>
      </c>
      <c r="N11" s="2" t="s">
        <v>90</v>
      </c>
      <c r="O11" s="2" t="s">
        <v>90</v>
      </c>
      <c r="P11" s="2" t="s">
        <v>90</v>
      </c>
      <c r="Q11" s="2" t="s">
        <v>90</v>
      </c>
      <c r="R11" s="2" t="s">
        <v>90</v>
      </c>
      <c r="S11" s="2" t="s">
        <v>90</v>
      </c>
      <c r="T11" s="2" t="str">
        <f t="shared" si="1"/>
        <v>Fútbol</v>
      </c>
    </row>
    <row r="12" ht="12.75" customHeight="1">
      <c r="A12" s="23" t="s">
        <v>196</v>
      </c>
      <c r="B12" s="2" t="s">
        <v>17</v>
      </c>
      <c r="C12" s="2" t="s">
        <v>90</v>
      </c>
      <c r="D12" s="2" t="s">
        <v>90</v>
      </c>
      <c r="E12" s="2" t="s">
        <v>89</v>
      </c>
      <c r="F12" s="2" t="s">
        <v>16</v>
      </c>
      <c r="G12" s="2" t="s">
        <v>90</v>
      </c>
      <c r="H12" s="2" t="s">
        <v>90</v>
      </c>
      <c r="I12" s="2" t="s">
        <v>90</v>
      </c>
      <c r="J12" s="2" t="s">
        <v>15</v>
      </c>
      <c r="K12" s="2" t="s">
        <v>90</v>
      </c>
      <c r="L12" s="2" t="s">
        <v>90</v>
      </c>
      <c r="M12" s="2" t="s">
        <v>90</v>
      </c>
      <c r="N12" s="2" t="s">
        <v>90</v>
      </c>
      <c r="O12" s="2" t="s">
        <v>90</v>
      </c>
      <c r="P12" s="2" t="s">
        <v>90</v>
      </c>
      <c r="Q12" s="2" t="s">
        <v>90</v>
      </c>
      <c r="R12" s="2" t="s">
        <v>90</v>
      </c>
      <c r="S12" s="2" t="s">
        <v>90</v>
      </c>
      <c r="T12" s="2" t="str">
        <f t="shared" si="1"/>
        <v>Call of Duty</v>
      </c>
    </row>
    <row r="13" ht="12.75" customHeight="1">
      <c r="A13" s="23" t="s">
        <v>196</v>
      </c>
      <c r="B13" s="2" t="s">
        <v>17</v>
      </c>
      <c r="C13" s="2" t="s">
        <v>90</v>
      </c>
      <c r="D13" s="2" t="s">
        <v>90</v>
      </c>
      <c r="E13" s="2" t="s">
        <v>89</v>
      </c>
      <c r="F13" s="2" t="s">
        <v>16</v>
      </c>
      <c r="G13" s="2" t="s">
        <v>90</v>
      </c>
      <c r="H13" s="2" t="s">
        <v>90</v>
      </c>
      <c r="I13" s="2" t="s">
        <v>90</v>
      </c>
      <c r="J13" s="2" t="s">
        <v>15</v>
      </c>
      <c r="K13" s="2" t="s">
        <v>90</v>
      </c>
      <c r="L13" s="2" t="s">
        <v>90</v>
      </c>
      <c r="M13" s="2" t="s">
        <v>90</v>
      </c>
      <c r="N13" s="2" t="s">
        <v>90</v>
      </c>
      <c r="O13" s="2" t="s">
        <v>90</v>
      </c>
      <c r="P13" s="2" t="s">
        <v>90</v>
      </c>
      <c r="Q13" s="2" t="s">
        <v>90</v>
      </c>
      <c r="R13" s="2" t="s">
        <v>90</v>
      </c>
      <c r="S13" s="2" t="s">
        <v>90</v>
      </c>
      <c r="T13" s="2" t="str">
        <f t="shared" si="1"/>
        <v>Call of Duty</v>
      </c>
    </row>
    <row r="14" ht="12.75" customHeight="1">
      <c r="A14" s="9" t="s">
        <v>91</v>
      </c>
      <c r="B14" s="2" t="s">
        <v>15</v>
      </c>
      <c r="C14" s="2" t="s">
        <v>90</v>
      </c>
      <c r="D14" s="2" t="s">
        <v>90</v>
      </c>
      <c r="E14" s="2" t="s">
        <v>90</v>
      </c>
      <c r="F14" s="2" t="s">
        <v>15</v>
      </c>
      <c r="G14" s="2" t="s">
        <v>90</v>
      </c>
      <c r="H14" s="2" t="s">
        <v>89</v>
      </c>
      <c r="I14" s="2" t="s">
        <v>16</v>
      </c>
      <c r="J14" s="2" t="s">
        <v>89</v>
      </c>
      <c r="K14" s="2" t="s">
        <v>90</v>
      </c>
      <c r="L14" s="2" t="s">
        <v>90</v>
      </c>
      <c r="M14" s="2" t="s">
        <v>90</v>
      </c>
      <c r="N14" s="2" t="s">
        <v>90</v>
      </c>
      <c r="O14" s="2" t="s">
        <v>90</v>
      </c>
      <c r="P14" s="2" t="s">
        <v>90</v>
      </c>
      <c r="Q14" s="2" t="s">
        <v>90</v>
      </c>
      <c r="R14" s="2" t="s">
        <v>90</v>
      </c>
      <c r="S14" s="2" t="s">
        <v>90</v>
      </c>
      <c r="T14" s="2" t="str">
        <f t="shared" si="1"/>
        <v>Catán</v>
      </c>
    </row>
    <row r="15" ht="12.75" customHeight="1">
      <c r="A15" s="29" t="s">
        <v>92</v>
      </c>
      <c r="B15" s="2" t="s">
        <v>90</v>
      </c>
      <c r="C15" s="2" t="s">
        <v>90</v>
      </c>
      <c r="D15" s="2" t="s">
        <v>90</v>
      </c>
      <c r="E15" s="2" t="s">
        <v>90</v>
      </c>
      <c r="F15" s="2" t="s">
        <v>16</v>
      </c>
      <c r="G15" s="2" t="s">
        <v>90</v>
      </c>
      <c r="H15" s="2" t="s">
        <v>15</v>
      </c>
      <c r="I15" s="2" t="s">
        <v>90</v>
      </c>
      <c r="J15" s="2" t="s">
        <v>17</v>
      </c>
      <c r="K15" s="2" t="s">
        <v>90</v>
      </c>
      <c r="L15" s="2" t="s">
        <v>90</v>
      </c>
      <c r="M15" s="2" t="s">
        <v>90</v>
      </c>
      <c r="N15" s="2" t="s">
        <v>90</v>
      </c>
      <c r="O15" s="2" t="s">
        <v>90</v>
      </c>
      <c r="P15" s="2" t="s">
        <v>90</v>
      </c>
      <c r="Q15" s="2" t="s">
        <v>90</v>
      </c>
      <c r="R15" s="2" t="s">
        <v>90</v>
      </c>
      <c r="S15" s="2" t="s">
        <v>90</v>
      </c>
      <c r="T15" s="2" t="str">
        <f t="shared" si="1"/>
        <v>Mario Kart</v>
      </c>
    </row>
    <row r="16" ht="12.75" customHeight="1">
      <c r="A16" s="2" t="s">
        <v>389</v>
      </c>
      <c r="B16" s="2" t="s">
        <v>17</v>
      </c>
      <c r="C16" s="2" t="s">
        <v>90</v>
      </c>
      <c r="D16" s="2" t="s">
        <v>90</v>
      </c>
      <c r="E16" s="2" t="s">
        <v>90</v>
      </c>
      <c r="F16" s="2" t="s">
        <v>15</v>
      </c>
      <c r="G16" s="2" t="s">
        <v>90</v>
      </c>
      <c r="H16" s="2" t="s">
        <v>89</v>
      </c>
      <c r="I16" s="2" t="s">
        <v>89</v>
      </c>
      <c r="J16" s="2" t="s">
        <v>16</v>
      </c>
      <c r="K16" s="2" t="s">
        <v>90</v>
      </c>
      <c r="L16" s="2" t="s">
        <v>90</v>
      </c>
      <c r="M16" s="2" t="s">
        <v>90</v>
      </c>
      <c r="N16" s="2" t="s">
        <v>90</v>
      </c>
      <c r="O16" s="2" t="s">
        <v>90</v>
      </c>
      <c r="P16" s="2" t="s">
        <v>90</v>
      </c>
      <c r="Q16" s="2" t="s">
        <v>90</v>
      </c>
      <c r="R16" s="2" t="s">
        <v>90</v>
      </c>
      <c r="S16" s="2" t="s">
        <v>90</v>
      </c>
      <c r="T16" s="2" t="str">
        <f t="shared" si="1"/>
        <v>Mentiroso</v>
      </c>
    </row>
    <row r="17" ht="12.75" customHeight="1">
      <c r="A17" s="2" t="s">
        <v>23</v>
      </c>
      <c r="B17" s="2" t="s">
        <v>16</v>
      </c>
      <c r="C17" s="2" t="s">
        <v>90</v>
      </c>
      <c r="D17" s="2" t="s">
        <v>90</v>
      </c>
      <c r="E17" s="2" t="s">
        <v>90</v>
      </c>
      <c r="F17" s="2" t="s">
        <v>89</v>
      </c>
      <c r="G17" s="2" t="s">
        <v>17</v>
      </c>
      <c r="H17" s="2" t="s">
        <v>89</v>
      </c>
      <c r="I17" s="2" t="s">
        <v>15</v>
      </c>
      <c r="J17" s="2" t="s">
        <v>89</v>
      </c>
      <c r="K17" s="2" t="s">
        <v>90</v>
      </c>
      <c r="L17" s="2" t="s">
        <v>90</v>
      </c>
      <c r="M17" s="2" t="s">
        <v>90</v>
      </c>
      <c r="N17" s="2" t="s">
        <v>90</v>
      </c>
      <c r="O17" s="2" t="s">
        <v>90</v>
      </c>
      <c r="P17" s="2" t="s">
        <v>90</v>
      </c>
      <c r="Q17" s="2" t="s">
        <v>90</v>
      </c>
      <c r="R17" s="2" t="s">
        <v>90</v>
      </c>
      <c r="S17" s="2" t="s">
        <v>90</v>
      </c>
      <c r="T17" s="2" t="str">
        <f t="shared" si="1"/>
        <v>Frontón</v>
      </c>
    </row>
    <row r="18" ht="12.75" customHeight="1">
      <c r="A18" s="2" t="s">
        <v>23</v>
      </c>
      <c r="B18" s="2" t="s">
        <v>16</v>
      </c>
      <c r="C18" s="2" t="s">
        <v>90</v>
      </c>
      <c r="D18" s="2" t="s">
        <v>90</v>
      </c>
      <c r="E18" s="2" t="s">
        <v>90</v>
      </c>
      <c r="F18" s="2" t="s">
        <v>17</v>
      </c>
      <c r="G18" s="2" t="s">
        <v>89</v>
      </c>
      <c r="H18" s="2" t="s">
        <v>89</v>
      </c>
      <c r="I18" s="2" t="s">
        <v>15</v>
      </c>
      <c r="J18" s="2" t="s">
        <v>89</v>
      </c>
      <c r="K18" s="2" t="s">
        <v>90</v>
      </c>
      <c r="L18" s="2" t="s">
        <v>90</v>
      </c>
      <c r="M18" s="2" t="s">
        <v>90</v>
      </c>
      <c r="N18" s="2" t="s">
        <v>90</v>
      </c>
      <c r="O18" s="2" t="s">
        <v>90</v>
      </c>
      <c r="P18" s="2" t="s">
        <v>90</v>
      </c>
      <c r="Q18" s="2" t="s">
        <v>90</v>
      </c>
      <c r="R18" s="2" t="s">
        <v>90</v>
      </c>
      <c r="S18" s="2" t="s">
        <v>90</v>
      </c>
      <c r="T18" s="2" t="str">
        <f t="shared" si="1"/>
        <v>Frontón</v>
      </c>
    </row>
    <row r="19" ht="12.75" customHeight="1">
      <c r="A19" s="2" t="s">
        <v>389</v>
      </c>
      <c r="B19" s="2" t="s">
        <v>16</v>
      </c>
      <c r="C19" s="2" t="s">
        <v>90</v>
      </c>
      <c r="D19" s="2" t="s">
        <v>90</v>
      </c>
      <c r="E19" s="2" t="s">
        <v>90</v>
      </c>
      <c r="F19" s="2" t="s">
        <v>17</v>
      </c>
      <c r="G19" s="2" t="s">
        <v>90</v>
      </c>
      <c r="H19" s="2" t="s">
        <v>15</v>
      </c>
      <c r="I19" s="2" t="s">
        <v>90</v>
      </c>
      <c r="J19" s="2" t="s">
        <v>89</v>
      </c>
      <c r="K19" s="2" t="s">
        <v>89</v>
      </c>
      <c r="L19" s="2" t="s">
        <v>90</v>
      </c>
      <c r="M19" s="2" t="s">
        <v>90</v>
      </c>
      <c r="N19" s="2" t="s">
        <v>90</v>
      </c>
      <c r="O19" s="2" t="s">
        <v>90</v>
      </c>
      <c r="P19" s="2" t="s">
        <v>90</v>
      </c>
      <c r="Q19" s="2" t="s">
        <v>90</v>
      </c>
      <c r="R19" s="2" t="s">
        <v>90</v>
      </c>
      <c r="S19" s="2" t="s">
        <v>90</v>
      </c>
      <c r="T19" s="2" t="str">
        <f t="shared" si="1"/>
        <v>Mentiroso</v>
      </c>
    </row>
    <row r="20" ht="12.75" customHeight="1">
      <c r="A20" s="2" t="s">
        <v>417</v>
      </c>
      <c r="B20" s="2" t="s">
        <v>15</v>
      </c>
      <c r="C20" s="2" t="s">
        <v>90</v>
      </c>
      <c r="D20" s="2" t="s">
        <v>90</v>
      </c>
      <c r="E20" s="2" t="s">
        <v>90</v>
      </c>
      <c r="F20" s="2" t="s">
        <v>16</v>
      </c>
      <c r="G20" s="2" t="s">
        <v>90</v>
      </c>
      <c r="H20" s="2" t="s">
        <v>90</v>
      </c>
      <c r="I20" s="2" t="s">
        <v>15</v>
      </c>
      <c r="J20" s="2" t="s">
        <v>90</v>
      </c>
      <c r="K20" s="2" t="s">
        <v>16</v>
      </c>
      <c r="L20" s="2" t="s">
        <v>90</v>
      </c>
      <c r="M20" s="2" t="s">
        <v>90</v>
      </c>
      <c r="N20" s="2" t="s">
        <v>90</v>
      </c>
      <c r="O20" s="2" t="s">
        <v>90</v>
      </c>
      <c r="P20" s="2" t="s">
        <v>90</v>
      </c>
      <c r="Q20" s="2" t="s">
        <v>90</v>
      </c>
      <c r="R20" s="2" t="s">
        <v>90</v>
      </c>
      <c r="S20" s="2" t="s">
        <v>90</v>
      </c>
      <c r="T20" s="2" t="str">
        <f t="shared" si="1"/>
        <v>Go Sushi</v>
      </c>
    </row>
    <row r="21" ht="12.75" customHeight="1">
      <c r="A21" s="2" t="s">
        <v>18</v>
      </c>
      <c r="B21" s="2" t="s">
        <v>16</v>
      </c>
      <c r="C21" s="2" t="s">
        <v>90</v>
      </c>
      <c r="D21" s="2" t="s">
        <v>90</v>
      </c>
      <c r="E21" s="2" t="s">
        <v>90</v>
      </c>
      <c r="F21" s="2" t="s">
        <v>15</v>
      </c>
      <c r="G21" s="2" t="s">
        <v>90</v>
      </c>
      <c r="H21" s="2" t="s">
        <v>90</v>
      </c>
      <c r="I21" s="2" t="s">
        <v>15</v>
      </c>
      <c r="J21" s="2" t="s">
        <v>15</v>
      </c>
      <c r="K21" s="2" t="s">
        <v>16</v>
      </c>
      <c r="L21" s="2" t="s">
        <v>90</v>
      </c>
      <c r="M21" s="2" t="s">
        <v>90</v>
      </c>
      <c r="N21" s="2" t="s">
        <v>90</v>
      </c>
      <c r="O21" s="2" t="s">
        <v>90</v>
      </c>
      <c r="P21" s="2" t="s">
        <v>90</v>
      </c>
      <c r="Q21" s="2" t="s">
        <v>90</v>
      </c>
      <c r="R21" s="2" t="s">
        <v>90</v>
      </c>
      <c r="S21" s="2" t="s">
        <v>90</v>
      </c>
      <c r="T21" s="2" t="str">
        <f t="shared" si="1"/>
        <v>Fútbol</v>
      </c>
    </row>
    <row r="22" ht="12.75" customHeight="1">
      <c r="A22" s="2" t="s">
        <v>418</v>
      </c>
      <c r="B22" s="2" t="s">
        <v>89</v>
      </c>
      <c r="C22" s="2" t="s">
        <v>90</v>
      </c>
      <c r="D22" s="2" t="s">
        <v>90</v>
      </c>
      <c r="E22" s="2" t="s">
        <v>90</v>
      </c>
      <c r="F22" s="2" t="s">
        <v>89</v>
      </c>
      <c r="G22" s="2" t="s">
        <v>15</v>
      </c>
      <c r="H22" s="2" t="s">
        <v>17</v>
      </c>
      <c r="I22" s="2" t="s">
        <v>89</v>
      </c>
      <c r="J22" s="2" t="s">
        <v>16</v>
      </c>
      <c r="K22" s="2" t="s">
        <v>89</v>
      </c>
      <c r="L22" s="2" t="s">
        <v>90</v>
      </c>
      <c r="M22" s="2" t="s">
        <v>90</v>
      </c>
      <c r="N22" s="2" t="s">
        <v>90</v>
      </c>
      <c r="O22" s="2" t="s">
        <v>90</v>
      </c>
      <c r="P22" s="2" t="s">
        <v>90</v>
      </c>
      <c r="Q22" s="2" t="s">
        <v>90</v>
      </c>
      <c r="R22" s="2" t="s">
        <v>90</v>
      </c>
      <c r="S22" s="2" t="s">
        <v>90</v>
      </c>
      <c r="T22" s="2" t="str">
        <f t="shared" si="1"/>
        <v>Puntería hockey</v>
      </c>
    </row>
    <row r="23" ht="12.75" customHeight="1">
      <c r="A23" s="2" t="s">
        <v>33</v>
      </c>
      <c r="B23" s="2" t="s">
        <v>15</v>
      </c>
      <c r="C23" s="2" t="s">
        <v>90</v>
      </c>
      <c r="D23" s="2" t="s">
        <v>90</v>
      </c>
      <c r="E23" s="2" t="s">
        <v>90</v>
      </c>
      <c r="F23" s="2" t="s">
        <v>16</v>
      </c>
      <c r="G23" s="2" t="s">
        <v>90</v>
      </c>
      <c r="H23" s="2" t="s">
        <v>17</v>
      </c>
      <c r="I23" s="2" t="s">
        <v>89</v>
      </c>
      <c r="J23" s="2" t="s">
        <v>90</v>
      </c>
      <c r="K23" s="2" t="s">
        <v>89</v>
      </c>
      <c r="L23" s="2" t="s">
        <v>90</v>
      </c>
      <c r="M23" s="2" t="s">
        <v>90</v>
      </c>
      <c r="N23" s="2" t="s">
        <v>90</v>
      </c>
      <c r="O23" s="2" t="s">
        <v>90</v>
      </c>
      <c r="P23" s="2" t="s">
        <v>90</v>
      </c>
      <c r="Q23" s="2" t="s">
        <v>90</v>
      </c>
      <c r="R23" s="2" t="s">
        <v>90</v>
      </c>
      <c r="S23" s="2" t="s">
        <v>90</v>
      </c>
      <c r="T23" s="2" t="str">
        <f t="shared" si="1"/>
        <v>Burro</v>
      </c>
    </row>
    <row r="24" ht="12.75" customHeight="1">
      <c r="A24" s="2" t="s">
        <v>39</v>
      </c>
      <c r="B24" s="2" t="s">
        <v>16</v>
      </c>
      <c r="C24" s="2" t="s">
        <v>90</v>
      </c>
      <c r="D24" s="2" t="s">
        <v>90</v>
      </c>
      <c r="E24" s="2" t="s">
        <v>90</v>
      </c>
      <c r="F24" s="2" t="s">
        <v>16</v>
      </c>
      <c r="G24" s="2" t="s">
        <v>89</v>
      </c>
      <c r="H24" s="2" t="s">
        <v>89</v>
      </c>
      <c r="I24" s="2" t="s">
        <v>89</v>
      </c>
      <c r="J24" s="2" t="s">
        <v>16</v>
      </c>
      <c r="K24" s="2" t="s">
        <v>90</v>
      </c>
      <c r="L24" s="2" t="s">
        <v>90</v>
      </c>
      <c r="M24" s="2" t="s">
        <v>90</v>
      </c>
      <c r="N24" s="2" t="s">
        <v>90</v>
      </c>
      <c r="O24" s="2" t="s">
        <v>90</v>
      </c>
      <c r="P24" s="2" t="s">
        <v>90</v>
      </c>
      <c r="Q24" s="2" t="s">
        <v>90</v>
      </c>
      <c r="R24" s="2" t="s">
        <v>90</v>
      </c>
      <c r="S24" s="2" t="s">
        <v>90</v>
      </c>
      <c r="T24" s="2" t="str">
        <f t="shared" si="1"/>
        <v>Pañuelo</v>
      </c>
    </row>
    <row r="25" ht="12.75" customHeight="1">
      <c r="A25" s="2" t="s">
        <v>267</v>
      </c>
      <c r="B25" s="2" t="s">
        <v>16</v>
      </c>
      <c r="C25" s="2" t="s">
        <v>90</v>
      </c>
      <c r="D25" s="2" t="s">
        <v>90</v>
      </c>
      <c r="E25" s="2" t="s">
        <v>90</v>
      </c>
      <c r="F25" s="2" t="s">
        <v>16</v>
      </c>
      <c r="G25" s="2" t="s">
        <v>89</v>
      </c>
      <c r="H25" s="2" t="s">
        <v>89</v>
      </c>
      <c r="I25" s="2" t="s">
        <v>89</v>
      </c>
      <c r="J25" s="2" t="s">
        <v>16</v>
      </c>
      <c r="K25" s="2" t="s">
        <v>90</v>
      </c>
      <c r="L25" s="2" t="s">
        <v>90</v>
      </c>
      <c r="M25" s="2" t="s">
        <v>90</v>
      </c>
      <c r="N25" s="2" t="s">
        <v>90</v>
      </c>
      <c r="O25" s="2" t="s">
        <v>90</v>
      </c>
      <c r="P25" s="2" t="s">
        <v>90</v>
      </c>
      <c r="Q25" s="2" t="s">
        <v>90</v>
      </c>
      <c r="R25" s="2" t="s">
        <v>90</v>
      </c>
      <c r="S25" s="2" t="s">
        <v>90</v>
      </c>
      <c r="T25" s="2" t="str">
        <f t="shared" si="1"/>
        <v>Quema</v>
      </c>
    </row>
    <row r="26" ht="12.75" customHeight="1">
      <c r="A26" s="2" t="s">
        <v>419</v>
      </c>
      <c r="B26" s="2" t="s">
        <v>89</v>
      </c>
      <c r="C26" s="2" t="s">
        <v>90</v>
      </c>
      <c r="D26" s="2" t="s">
        <v>90</v>
      </c>
      <c r="E26" s="2" t="s">
        <v>90</v>
      </c>
      <c r="F26" s="2" t="s">
        <v>89</v>
      </c>
      <c r="G26" s="2" t="s">
        <v>15</v>
      </c>
      <c r="H26" s="2" t="s">
        <v>89</v>
      </c>
      <c r="I26" s="2" t="s">
        <v>89</v>
      </c>
      <c r="J26" s="2" t="s">
        <v>89</v>
      </c>
      <c r="K26" s="2" t="s">
        <v>89</v>
      </c>
      <c r="L26" s="2" t="s">
        <v>90</v>
      </c>
      <c r="M26" s="2" t="s">
        <v>90</v>
      </c>
      <c r="N26" s="2" t="s">
        <v>90</v>
      </c>
      <c r="O26" s="2" t="s">
        <v>90</v>
      </c>
      <c r="P26" s="2" t="s">
        <v>90</v>
      </c>
      <c r="Q26" s="2" t="s">
        <v>90</v>
      </c>
      <c r="R26" s="2" t="s">
        <v>90</v>
      </c>
      <c r="S26" s="2" t="s">
        <v>90</v>
      </c>
      <c r="T26" s="2" t="str">
        <f t="shared" si="1"/>
        <v>El Pueblo</v>
      </c>
    </row>
    <row r="27" ht="12.75" customHeight="1">
      <c r="A27" s="2" t="s">
        <v>420</v>
      </c>
      <c r="B27" s="2" t="s">
        <v>90</v>
      </c>
      <c r="C27" s="2" t="s">
        <v>90</v>
      </c>
      <c r="D27" s="2" t="s">
        <v>90</v>
      </c>
      <c r="E27" s="2" t="s">
        <v>90</v>
      </c>
      <c r="F27" s="2" t="s">
        <v>90</v>
      </c>
      <c r="G27" s="2" t="s">
        <v>15</v>
      </c>
      <c r="H27" s="2" t="s">
        <v>90</v>
      </c>
      <c r="I27" s="2" t="s">
        <v>90</v>
      </c>
      <c r="J27" s="2" t="s">
        <v>89</v>
      </c>
      <c r="K27" s="2" t="s">
        <v>89</v>
      </c>
      <c r="L27" s="2" t="s">
        <v>90</v>
      </c>
      <c r="M27" s="2" t="s">
        <v>90</v>
      </c>
      <c r="N27" s="2" t="s">
        <v>90</v>
      </c>
      <c r="O27" s="2" t="s">
        <v>90</v>
      </c>
      <c r="P27" s="2" t="s">
        <v>90</v>
      </c>
      <c r="Q27" s="2" t="s">
        <v>90</v>
      </c>
      <c r="R27" s="2" t="s">
        <v>90</v>
      </c>
      <c r="S27" s="2" t="s">
        <v>90</v>
      </c>
      <c r="T27" s="2" t="str">
        <f t="shared" si="1"/>
        <v>Policia cartas</v>
      </c>
    </row>
    <row r="28" ht="12.75" customHeight="1">
      <c r="A28" s="2" t="s">
        <v>92</v>
      </c>
      <c r="B28" s="2" t="s">
        <v>90</v>
      </c>
      <c r="C28" s="2" t="s">
        <v>90</v>
      </c>
      <c r="D28" s="2" t="s">
        <v>90</v>
      </c>
      <c r="E28" s="2" t="s">
        <v>90</v>
      </c>
      <c r="F28" s="2" t="s">
        <v>16</v>
      </c>
      <c r="G28" s="2" t="s">
        <v>90</v>
      </c>
      <c r="H28" s="2" t="s">
        <v>15</v>
      </c>
      <c r="I28" s="2" t="s">
        <v>90</v>
      </c>
      <c r="J28" s="2" t="s">
        <v>17</v>
      </c>
      <c r="K28" s="2" t="s">
        <v>90</v>
      </c>
      <c r="L28" s="2" t="s">
        <v>90</v>
      </c>
      <c r="M28" s="2" t="s">
        <v>90</v>
      </c>
      <c r="N28" s="2" t="s">
        <v>90</v>
      </c>
      <c r="O28" s="2" t="s">
        <v>90</v>
      </c>
      <c r="P28" s="2" t="s">
        <v>90</v>
      </c>
      <c r="Q28" s="2" t="s">
        <v>90</v>
      </c>
      <c r="R28" s="2" t="s">
        <v>90</v>
      </c>
      <c r="S28" s="2" t="s">
        <v>90</v>
      </c>
      <c r="T28" s="2" t="str">
        <f t="shared" si="1"/>
        <v>Mario Kart</v>
      </c>
    </row>
    <row r="29" ht="12.75" customHeight="1">
      <c r="A29" s="2" t="s">
        <v>29</v>
      </c>
      <c r="B29" s="2" t="s">
        <v>16</v>
      </c>
      <c r="C29" s="2" t="s">
        <v>90</v>
      </c>
      <c r="D29" s="2" t="s">
        <v>90</v>
      </c>
      <c r="E29" s="2" t="s">
        <v>90</v>
      </c>
      <c r="F29" s="2" t="s">
        <v>15</v>
      </c>
      <c r="G29" s="2" t="s">
        <v>90</v>
      </c>
      <c r="H29" s="2" t="s">
        <v>90</v>
      </c>
      <c r="I29" s="2" t="s">
        <v>16</v>
      </c>
      <c r="J29" s="2" t="s">
        <v>90</v>
      </c>
      <c r="K29" s="2" t="s">
        <v>15</v>
      </c>
      <c r="L29" s="2" t="s">
        <v>90</v>
      </c>
      <c r="M29" s="2" t="s">
        <v>90</v>
      </c>
      <c r="N29" s="2" t="s">
        <v>90</v>
      </c>
      <c r="O29" s="2" t="s">
        <v>90</v>
      </c>
      <c r="P29" s="2" t="s">
        <v>90</v>
      </c>
      <c r="Q29" s="2" t="s">
        <v>90</v>
      </c>
      <c r="R29" s="2" t="s">
        <v>90</v>
      </c>
      <c r="S29" s="2" t="s">
        <v>90</v>
      </c>
      <c r="T29" s="2" t="str">
        <f t="shared" si="1"/>
        <v>Baloncesto</v>
      </c>
    </row>
    <row r="30" ht="12.75" customHeight="1">
      <c r="A30" s="2" t="s">
        <v>196</v>
      </c>
      <c r="B30" s="2" t="s">
        <v>15</v>
      </c>
      <c r="C30" s="2" t="s">
        <v>90</v>
      </c>
      <c r="D30" s="2" t="s">
        <v>90</v>
      </c>
      <c r="E30" s="2" t="s">
        <v>90</v>
      </c>
      <c r="F30" s="2" t="s">
        <v>16</v>
      </c>
      <c r="G30" s="2" t="s">
        <v>90</v>
      </c>
      <c r="H30" s="2" t="s">
        <v>90</v>
      </c>
      <c r="I30" s="2" t="s">
        <v>90</v>
      </c>
      <c r="J30" s="2" t="s">
        <v>17</v>
      </c>
      <c r="K30" s="2" t="s">
        <v>90</v>
      </c>
      <c r="L30" s="2" t="s">
        <v>90</v>
      </c>
      <c r="M30" s="2" t="s">
        <v>90</v>
      </c>
      <c r="N30" s="2" t="s">
        <v>90</v>
      </c>
      <c r="O30" s="2" t="s">
        <v>90</v>
      </c>
      <c r="P30" s="2" t="s">
        <v>90</v>
      </c>
      <c r="Q30" s="2" t="s">
        <v>90</v>
      </c>
      <c r="R30" s="2" t="s">
        <v>90</v>
      </c>
      <c r="S30" s="2" t="s">
        <v>90</v>
      </c>
      <c r="T30" s="2" t="str">
        <f t="shared" si="1"/>
        <v>Call of Duty</v>
      </c>
    </row>
    <row r="31" ht="12.75" customHeight="1">
      <c r="A31" s="2" t="s">
        <v>421</v>
      </c>
      <c r="B31" s="2" t="s">
        <v>15</v>
      </c>
      <c r="C31" s="2" t="s">
        <v>90</v>
      </c>
      <c r="D31" s="2" t="s">
        <v>90</v>
      </c>
      <c r="E31" s="2" t="s">
        <v>90</v>
      </c>
      <c r="F31" s="2" t="s">
        <v>15</v>
      </c>
      <c r="G31" s="2" t="s">
        <v>90</v>
      </c>
      <c r="H31" s="2" t="s">
        <v>89</v>
      </c>
      <c r="I31" s="2" t="s">
        <v>16</v>
      </c>
      <c r="J31" s="2" t="s">
        <v>16</v>
      </c>
      <c r="K31" s="2" t="s">
        <v>90</v>
      </c>
      <c r="L31" s="2" t="s">
        <v>90</v>
      </c>
      <c r="M31" s="2" t="s">
        <v>90</v>
      </c>
      <c r="N31" s="2" t="s">
        <v>90</v>
      </c>
      <c r="O31" s="2" t="s">
        <v>89</v>
      </c>
      <c r="P31" s="2" t="s">
        <v>90</v>
      </c>
      <c r="Q31" s="2" t="s">
        <v>90</v>
      </c>
      <c r="R31" s="2" t="s">
        <v>90</v>
      </c>
      <c r="S31" s="2" t="s">
        <v>90</v>
      </c>
      <c r="T31" s="2" t="str">
        <f t="shared" si="1"/>
        <v>Interacciones</v>
      </c>
    </row>
    <row r="32" ht="12.75" customHeight="1">
      <c r="A32" s="2" t="s">
        <v>389</v>
      </c>
      <c r="B32" s="2" t="s">
        <v>90</v>
      </c>
      <c r="C32" s="2" t="s">
        <v>90</v>
      </c>
      <c r="D32" s="2" t="s">
        <v>90</v>
      </c>
      <c r="E32" s="2" t="s">
        <v>90</v>
      </c>
      <c r="F32" s="2" t="s">
        <v>16</v>
      </c>
      <c r="G32" s="2" t="s">
        <v>90</v>
      </c>
      <c r="H32" s="2" t="s">
        <v>15</v>
      </c>
      <c r="I32" s="2" t="s">
        <v>90</v>
      </c>
      <c r="J32" s="2" t="s">
        <v>17</v>
      </c>
      <c r="K32" s="2" t="s">
        <v>90</v>
      </c>
      <c r="L32" s="2" t="s">
        <v>90</v>
      </c>
      <c r="M32" s="2" t="s">
        <v>90</v>
      </c>
      <c r="N32" s="2" t="s">
        <v>90</v>
      </c>
      <c r="O32" s="2" t="s">
        <v>90</v>
      </c>
      <c r="P32" s="2" t="s">
        <v>90</v>
      </c>
      <c r="Q32" s="2" t="s">
        <v>90</v>
      </c>
      <c r="R32" s="2" t="s">
        <v>90</v>
      </c>
      <c r="S32" s="2" t="s">
        <v>90</v>
      </c>
      <c r="T32" s="2" t="str">
        <f t="shared" si="1"/>
        <v>Mentiroso</v>
      </c>
    </row>
    <row r="33" ht="12.75" customHeight="1">
      <c r="A33" s="2" t="s">
        <v>31</v>
      </c>
      <c r="B33" s="2" t="s">
        <v>89</v>
      </c>
      <c r="C33" s="2" t="s">
        <v>90</v>
      </c>
      <c r="D33" s="2" t="s">
        <v>90</v>
      </c>
      <c r="E33" s="2" t="s">
        <v>90</v>
      </c>
      <c r="F33" s="2" t="s">
        <v>17</v>
      </c>
      <c r="G33" s="2" t="s">
        <v>90</v>
      </c>
      <c r="H33" s="2" t="s">
        <v>89</v>
      </c>
      <c r="I33" s="2" t="s">
        <v>89</v>
      </c>
      <c r="J33" s="2" t="s">
        <v>15</v>
      </c>
      <c r="K33" s="2" t="s">
        <v>16</v>
      </c>
      <c r="L33" s="2" t="s">
        <v>90</v>
      </c>
      <c r="M33" s="2" t="s">
        <v>90</v>
      </c>
      <c r="N33" s="2" t="s">
        <v>90</v>
      </c>
      <c r="O33" s="2" t="s">
        <v>90</v>
      </c>
      <c r="P33" s="2" t="s">
        <v>90</v>
      </c>
      <c r="Q33" s="2" t="s">
        <v>90</v>
      </c>
      <c r="R33" s="2" t="s">
        <v>90</v>
      </c>
      <c r="S33" s="2" t="s">
        <v>90</v>
      </c>
      <c r="T33" s="2" t="str">
        <f t="shared" si="1"/>
        <v>Dardos</v>
      </c>
    </row>
    <row r="34" ht="12.75" customHeight="1">
      <c r="A34" s="2" t="s">
        <v>44</v>
      </c>
      <c r="B34" s="2" t="s">
        <v>15</v>
      </c>
      <c r="C34" s="2" t="s">
        <v>90</v>
      </c>
      <c r="D34" s="2" t="s">
        <v>90</v>
      </c>
      <c r="E34" s="2" t="s">
        <v>90</v>
      </c>
      <c r="F34" s="2" t="s">
        <v>17</v>
      </c>
      <c r="G34" s="2" t="s">
        <v>89</v>
      </c>
      <c r="H34" s="2" t="s">
        <v>89</v>
      </c>
      <c r="I34" s="2" t="s">
        <v>16</v>
      </c>
      <c r="J34" s="2" t="s">
        <v>89</v>
      </c>
      <c r="K34" s="2" t="s">
        <v>89</v>
      </c>
      <c r="L34" s="2" t="s">
        <v>90</v>
      </c>
      <c r="M34" s="2" t="s">
        <v>90</v>
      </c>
      <c r="N34" s="2" t="s">
        <v>90</v>
      </c>
      <c r="O34" s="2" t="s">
        <v>90</v>
      </c>
      <c r="P34" s="2" t="s">
        <v>90</v>
      </c>
      <c r="Q34" s="2" t="s">
        <v>90</v>
      </c>
      <c r="R34" s="2" t="s">
        <v>90</v>
      </c>
      <c r="S34" s="2" t="s">
        <v>90</v>
      </c>
      <c r="T34" s="2" t="str">
        <f t="shared" si="1"/>
        <v>Criquet</v>
      </c>
    </row>
    <row r="35" ht="12.75" customHeight="1">
      <c r="A35" s="2" t="s">
        <v>422</v>
      </c>
      <c r="B35" s="2" t="s">
        <v>15</v>
      </c>
      <c r="C35" s="2" t="s">
        <v>90</v>
      </c>
      <c r="D35" s="2" t="s">
        <v>90</v>
      </c>
      <c r="E35" s="2" t="s">
        <v>90</v>
      </c>
      <c r="F35" s="2" t="s">
        <v>89</v>
      </c>
      <c r="G35" s="2" t="s">
        <v>90</v>
      </c>
      <c r="H35" s="2" t="s">
        <v>89</v>
      </c>
      <c r="I35" s="2" t="s">
        <v>17</v>
      </c>
      <c r="J35" s="2" t="s">
        <v>89</v>
      </c>
      <c r="K35" s="2" t="s">
        <v>16</v>
      </c>
      <c r="L35" s="2" t="s">
        <v>90</v>
      </c>
      <c r="M35" s="2" t="s">
        <v>90</v>
      </c>
      <c r="N35" s="2" t="s">
        <v>90</v>
      </c>
      <c r="O35" s="2" t="s">
        <v>90</v>
      </c>
      <c r="P35" s="2" t="s">
        <v>90</v>
      </c>
      <c r="Q35" s="2" t="s">
        <v>90</v>
      </c>
      <c r="R35" s="2" t="s">
        <v>90</v>
      </c>
      <c r="S35" s="2" t="s">
        <v>90</v>
      </c>
      <c r="T35" s="2" t="str">
        <f t="shared" si="1"/>
        <v>Bombilla</v>
      </c>
    </row>
    <row r="36" ht="12.75" customHeight="1">
      <c r="A36" s="2" t="s">
        <v>423</v>
      </c>
      <c r="B36" s="2" t="s">
        <v>89</v>
      </c>
      <c r="C36" s="2" t="s">
        <v>90</v>
      </c>
      <c r="D36" s="2" t="s">
        <v>90</v>
      </c>
      <c r="E36" s="2" t="s">
        <v>90</v>
      </c>
      <c r="F36" s="2" t="s">
        <v>89</v>
      </c>
      <c r="G36" s="2" t="s">
        <v>90</v>
      </c>
      <c r="H36" s="2" t="s">
        <v>16</v>
      </c>
      <c r="I36" s="2" t="s">
        <v>89</v>
      </c>
      <c r="J36" s="2" t="s">
        <v>16</v>
      </c>
      <c r="K36" s="2" t="s">
        <v>90</v>
      </c>
      <c r="L36" s="2" t="s">
        <v>90</v>
      </c>
      <c r="M36" s="2" t="s">
        <v>90</v>
      </c>
      <c r="N36" s="2" t="s">
        <v>90</v>
      </c>
      <c r="O36" s="2" t="s">
        <v>90</v>
      </c>
      <c r="P36" s="2" t="s">
        <v>90</v>
      </c>
      <c r="Q36" s="2" t="s">
        <v>90</v>
      </c>
      <c r="R36" s="2" t="s">
        <v>90</v>
      </c>
      <c r="S36" s="2" t="s">
        <v>90</v>
      </c>
      <c r="T36" s="2" t="str">
        <f t="shared" si="1"/>
        <v>Incognita</v>
      </c>
    </row>
    <row r="37" ht="12.75" customHeight="1">
      <c r="A37" s="2" t="s">
        <v>158</v>
      </c>
      <c r="B37" s="2" t="s">
        <v>89</v>
      </c>
      <c r="C37" s="2" t="s">
        <v>90</v>
      </c>
      <c r="D37" s="2" t="s">
        <v>90</v>
      </c>
      <c r="E37" s="2" t="s">
        <v>90</v>
      </c>
      <c r="F37" s="2" t="s">
        <v>16</v>
      </c>
      <c r="G37" s="2" t="s">
        <v>90</v>
      </c>
      <c r="H37" s="2" t="s">
        <v>90</v>
      </c>
      <c r="I37" s="2" t="s">
        <v>15</v>
      </c>
      <c r="J37" s="2" t="s">
        <v>17</v>
      </c>
      <c r="K37" s="2" t="s">
        <v>90</v>
      </c>
      <c r="L37" s="2" t="s">
        <v>90</v>
      </c>
      <c r="M37" s="2" t="s">
        <v>90</v>
      </c>
      <c r="N37" s="2" t="s">
        <v>90</v>
      </c>
      <c r="O37" s="2" t="s">
        <v>90</v>
      </c>
      <c r="P37" s="2" t="s">
        <v>90</v>
      </c>
      <c r="Q37" s="2" t="s">
        <v>90</v>
      </c>
      <c r="R37" s="2" t="s">
        <v>90</v>
      </c>
      <c r="S37" s="2" t="s">
        <v>90</v>
      </c>
      <c r="T37" s="2" t="str">
        <f t="shared" si="1"/>
        <v>Carrera bici</v>
      </c>
    </row>
    <row r="38" ht="12.75" customHeight="1">
      <c r="A38" s="2" t="s">
        <v>424</v>
      </c>
      <c r="B38" s="2" t="s">
        <v>90</v>
      </c>
      <c r="C38" s="2" t="s">
        <v>90</v>
      </c>
      <c r="D38" s="2" t="s">
        <v>90</v>
      </c>
      <c r="E38" s="2" t="s">
        <v>90</v>
      </c>
      <c r="F38" s="2" t="s">
        <v>16</v>
      </c>
      <c r="G38" s="2" t="s">
        <v>90</v>
      </c>
      <c r="H38" s="2" t="s">
        <v>90</v>
      </c>
      <c r="I38" s="2" t="s">
        <v>15</v>
      </c>
      <c r="J38" s="2" t="s">
        <v>17</v>
      </c>
      <c r="K38" s="2" t="s">
        <v>90</v>
      </c>
      <c r="L38" s="2" t="s">
        <v>90</v>
      </c>
      <c r="M38" s="2" t="s">
        <v>90</v>
      </c>
      <c r="N38" s="2" t="s">
        <v>90</v>
      </c>
      <c r="O38" s="2" t="s">
        <v>90</v>
      </c>
      <c r="P38" s="2" t="s">
        <v>90</v>
      </c>
      <c r="Q38" s="2" t="s">
        <v>90</v>
      </c>
      <c r="R38" s="2" t="s">
        <v>90</v>
      </c>
      <c r="S38" s="2" t="s">
        <v>90</v>
      </c>
      <c r="T38" s="2" t="str">
        <f t="shared" si="1"/>
        <v>Resistencia en bici</v>
      </c>
    </row>
    <row r="39" ht="12.75" customHeight="1">
      <c r="A39" s="2" t="s">
        <v>425</v>
      </c>
      <c r="B39" s="2" t="s">
        <v>89</v>
      </c>
      <c r="C39" s="2" t="s">
        <v>90</v>
      </c>
      <c r="D39" s="2" t="s">
        <v>90</v>
      </c>
      <c r="E39" s="2" t="s">
        <v>90</v>
      </c>
      <c r="F39" s="2" t="s">
        <v>89</v>
      </c>
      <c r="G39" s="2" t="s">
        <v>90</v>
      </c>
      <c r="H39" s="2" t="s">
        <v>89</v>
      </c>
      <c r="I39" s="2" t="s">
        <v>89</v>
      </c>
      <c r="J39" s="2" t="s">
        <v>16</v>
      </c>
      <c r="K39" s="2" t="s">
        <v>90</v>
      </c>
      <c r="L39" s="2" t="s">
        <v>90</v>
      </c>
      <c r="M39" s="2" t="s">
        <v>90</v>
      </c>
      <c r="N39" s="2" t="s">
        <v>90</v>
      </c>
      <c r="O39" s="2" t="s">
        <v>90</v>
      </c>
      <c r="P39" s="2" t="s">
        <v>90</v>
      </c>
      <c r="Q39" s="2" t="s">
        <v>90</v>
      </c>
      <c r="R39" s="2" t="s">
        <v>90</v>
      </c>
      <c r="S39" s="2" t="s">
        <v>90</v>
      </c>
      <c r="T39" s="2" t="str">
        <f t="shared" si="1"/>
        <v>¿Alguien ha probado este juego?</v>
      </c>
    </row>
    <row r="40" ht="12.75" customHeight="1">
      <c r="A40" s="2" t="s">
        <v>426</v>
      </c>
      <c r="B40" s="2" t="s">
        <v>16</v>
      </c>
      <c r="C40" s="2" t="s">
        <v>90</v>
      </c>
      <c r="D40" s="2" t="s">
        <v>90</v>
      </c>
      <c r="E40" s="2" t="s">
        <v>90</v>
      </c>
      <c r="F40" s="2" t="s">
        <v>15</v>
      </c>
      <c r="G40" s="2" t="s">
        <v>90</v>
      </c>
      <c r="H40" s="2" t="s">
        <v>89</v>
      </c>
      <c r="I40" s="2" t="s">
        <v>89</v>
      </c>
      <c r="J40" s="2" t="s">
        <v>89</v>
      </c>
      <c r="K40" s="2" t="s">
        <v>89</v>
      </c>
      <c r="L40" s="2" t="s">
        <v>90</v>
      </c>
      <c r="M40" s="2" t="s">
        <v>90</v>
      </c>
      <c r="N40" s="2" t="s">
        <v>90</v>
      </c>
      <c r="O40" s="2" t="s">
        <v>90</v>
      </c>
      <c r="P40" s="2" t="s">
        <v>90</v>
      </c>
      <c r="Q40" s="2" t="s">
        <v>90</v>
      </c>
      <c r="R40" s="2" t="s">
        <v>90</v>
      </c>
      <c r="S40" s="2" t="s">
        <v>90</v>
      </c>
      <c r="T40" s="2" t="str">
        <f t="shared" si="1"/>
        <v>Spoilers</v>
      </c>
    </row>
    <row r="41" ht="12.75" customHeight="1">
      <c r="A41" s="2" t="s">
        <v>427</v>
      </c>
      <c r="B41" s="2" t="s">
        <v>15</v>
      </c>
      <c r="C41" s="2" t="s">
        <v>90</v>
      </c>
      <c r="D41" s="2" t="s">
        <v>90</v>
      </c>
      <c r="E41" s="2" t="s">
        <v>90</v>
      </c>
      <c r="F41" s="2" t="s">
        <v>17</v>
      </c>
      <c r="G41" s="2" t="s">
        <v>90</v>
      </c>
      <c r="H41" s="2" t="s">
        <v>89</v>
      </c>
      <c r="I41" s="2" t="s">
        <v>89</v>
      </c>
      <c r="J41" s="2" t="s">
        <v>89</v>
      </c>
      <c r="K41" s="2" t="s">
        <v>16</v>
      </c>
      <c r="L41" s="2" t="s">
        <v>90</v>
      </c>
      <c r="M41" s="2" t="s">
        <v>90</v>
      </c>
      <c r="N41" s="2" t="s">
        <v>90</v>
      </c>
      <c r="O41" s="2" t="s">
        <v>90</v>
      </c>
      <c r="P41" s="2" t="s">
        <v>90</v>
      </c>
      <c r="Q41" s="2" t="s">
        <v>90</v>
      </c>
      <c r="R41" s="2" t="s">
        <v>90</v>
      </c>
      <c r="S41" s="2" t="s">
        <v>90</v>
      </c>
      <c r="T41" s="2" t="str">
        <f t="shared" si="1"/>
        <v>Impulso</v>
      </c>
    </row>
    <row r="42" ht="12.75" customHeight="1">
      <c r="A42" s="2" t="s">
        <v>428</v>
      </c>
      <c r="B42" s="2" t="s">
        <v>16</v>
      </c>
      <c r="C42" s="2" t="s">
        <v>90</v>
      </c>
      <c r="D42" s="2" t="s">
        <v>90</v>
      </c>
      <c r="E42" s="2" t="s">
        <v>90</v>
      </c>
      <c r="F42" s="2" t="s">
        <v>16</v>
      </c>
      <c r="G42" s="2" t="s">
        <v>90</v>
      </c>
      <c r="H42" s="2" t="s">
        <v>89</v>
      </c>
      <c r="I42" s="2" t="s">
        <v>16</v>
      </c>
      <c r="J42" s="2" t="s">
        <v>16</v>
      </c>
      <c r="K42" s="2" t="s">
        <v>16</v>
      </c>
      <c r="L42" s="2" t="s">
        <v>90</v>
      </c>
      <c r="M42" s="2" t="s">
        <v>90</v>
      </c>
      <c r="N42" s="2" t="s">
        <v>90</v>
      </c>
      <c r="O42" s="2" t="s">
        <v>90</v>
      </c>
      <c r="P42" s="2" t="s">
        <v>90</v>
      </c>
      <c r="Q42" s="2" t="s">
        <v>90</v>
      </c>
      <c r="R42" s="2" t="s">
        <v>90</v>
      </c>
      <c r="S42" s="2" t="s">
        <v>90</v>
      </c>
      <c r="T42" s="2" t="str">
        <f t="shared" si="1"/>
        <v>Bucear</v>
      </c>
    </row>
    <row r="43" ht="12.75" customHeight="1">
      <c r="A43" s="2" t="s">
        <v>429</v>
      </c>
      <c r="B43" s="2" t="s">
        <v>89</v>
      </c>
      <c r="C43" s="2" t="s">
        <v>90</v>
      </c>
      <c r="D43" s="2" t="s">
        <v>90</v>
      </c>
      <c r="E43" s="2" t="s">
        <v>90</v>
      </c>
      <c r="F43" s="2" t="s">
        <v>16</v>
      </c>
      <c r="G43" s="2" t="s">
        <v>90</v>
      </c>
      <c r="H43" s="2" t="s">
        <v>89</v>
      </c>
      <c r="I43" s="2" t="s">
        <v>89</v>
      </c>
      <c r="J43" s="2" t="s">
        <v>89</v>
      </c>
      <c r="K43" s="2" t="s">
        <v>16</v>
      </c>
      <c r="L43" s="2" t="s">
        <v>90</v>
      </c>
      <c r="M43" s="2" t="s">
        <v>90</v>
      </c>
      <c r="N43" s="2" t="s">
        <v>90</v>
      </c>
      <c r="O43" s="2" t="s">
        <v>90</v>
      </c>
      <c r="P43" s="2" t="s">
        <v>90</v>
      </c>
      <c r="Q43" s="2" t="s">
        <v>90</v>
      </c>
      <c r="R43" s="2" t="s">
        <v>90</v>
      </c>
      <c r="S43" s="2" t="s">
        <v>90</v>
      </c>
      <c r="T43" s="2" t="str">
        <f t="shared" si="1"/>
        <v>Batalla columnas</v>
      </c>
    </row>
    <row r="44" ht="12.75" customHeight="1">
      <c r="A44" s="2" t="s">
        <v>430</v>
      </c>
      <c r="B44" s="2" t="s">
        <v>16</v>
      </c>
      <c r="C44" s="2" t="s">
        <v>90</v>
      </c>
      <c r="D44" s="2" t="s">
        <v>90</v>
      </c>
      <c r="E44" s="2" t="s">
        <v>90</v>
      </c>
      <c r="F44" s="2" t="s">
        <v>89</v>
      </c>
      <c r="G44" s="2" t="s">
        <v>90</v>
      </c>
      <c r="H44" s="2" t="s">
        <v>89</v>
      </c>
      <c r="I44" s="2" t="s">
        <v>15</v>
      </c>
      <c r="J44" s="2" t="s">
        <v>89</v>
      </c>
      <c r="K44" s="2" t="s">
        <v>17</v>
      </c>
      <c r="L44" s="2" t="s">
        <v>90</v>
      </c>
      <c r="M44" s="2" t="s">
        <v>90</v>
      </c>
      <c r="N44" s="2" t="s">
        <v>90</v>
      </c>
      <c r="O44" s="2" t="s">
        <v>90</v>
      </c>
      <c r="P44" s="2" t="s">
        <v>90</v>
      </c>
      <c r="Q44" s="2" t="s">
        <v>90</v>
      </c>
      <c r="R44" s="2" t="s">
        <v>90</v>
      </c>
      <c r="S44" s="2" t="s">
        <v>90</v>
      </c>
      <c r="T44" s="2" t="str">
        <f t="shared" si="1"/>
        <v>Carrera piscina</v>
      </c>
    </row>
    <row r="45" ht="12.75" customHeight="1">
      <c r="A45" s="2" t="s">
        <v>379</v>
      </c>
      <c r="B45" s="2" t="s">
        <v>15</v>
      </c>
      <c r="C45" s="2" t="s">
        <v>90</v>
      </c>
      <c r="D45" s="2" t="s">
        <v>90</v>
      </c>
      <c r="E45" s="2" t="s">
        <v>90</v>
      </c>
      <c r="F45" s="2" t="s">
        <v>16</v>
      </c>
      <c r="G45" s="2" t="s">
        <v>15</v>
      </c>
      <c r="H45" s="2" t="s">
        <v>15</v>
      </c>
      <c r="I45" s="2" t="s">
        <v>15</v>
      </c>
      <c r="J45" s="2" t="s">
        <v>16</v>
      </c>
      <c r="K45" s="2" t="s">
        <v>16</v>
      </c>
      <c r="L45" s="2" t="s">
        <v>90</v>
      </c>
      <c r="M45" s="2" t="s">
        <v>90</v>
      </c>
      <c r="N45" s="2" t="s">
        <v>90</v>
      </c>
      <c r="O45" s="2" t="s">
        <v>90</v>
      </c>
      <c r="P45" s="2" t="s">
        <v>90</v>
      </c>
      <c r="Q45" s="2" t="s">
        <v>90</v>
      </c>
      <c r="R45" s="2" t="s">
        <v>90</v>
      </c>
      <c r="S45" s="2" t="s">
        <v>90</v>
      </c>
      <c r="T45" s="2" t="str">
        <f t="shared" si="1"/>
        <v>Código secreto</v>
      </c>
    </row>
    <row r="46" ht="12.75" customHeight="1">
      <c r="A46" s="2" t="s">
        <v>379</v>
      </c>
      <c r="B46" s="2" t="s">
        <v>16</v>
      </c>
      <c r="C46" s="2" t="s">
        <v>90</v>
      </c>
      <c r="D46" s="2" t="s">
        <v>90</v>
      </c>
      <c r="E46" s="2" t="s">
        <v>90</v>
      </c>
      <c r="F46" s="2" t="s">
        <v>16</v>
      </c>
      <c r="G46" s="2" t="s">
        <v>90</v>
      </c>
      <c r="H46" s="2" t="s">
        <v>89</v>
      </c>
      <c r="I46" s="2" t="s">
        <v>89</v>
      </c>
      <c r="J46" s="2" t="s">
        <v>89</v>
      </c>
      <c r="K46" s="2" t="s">
        <v>90</v>
      </c>
      <c r="L46" s="2" t="s">
        <v>90</v>
      </c>
      <c r="M46" s="2" t="s">
        <v>90</v>
      </c>
      <c r="N46" s="2" t="s">
        <v>90</v>
      </c>
      <c r="O46" s="2" t="s">
        <v>90</v>
      </c>
      <c r="P46" s="2" t="s">
        <v>90</v>
      </c>
      <c r="Q46" s="2" t="s">
        <v>90</v>
      </c>
      <c r="R46" s="2" t="s">
        <v>90</v>
      </c>
      <c r="S46" s="2" t="s">
        <v>90</v>
      </c>
      <c r="T46" s="2" t="str">
        <f t="shared" si="1"/>
        <v>Código secreto</v>
      </c>
    </row>
    <row r="47" ht="12.75" customHeight="1">
      <c r="A47" s="9" t="s">
        <v>91</v>
      </c>
      <c r="B47" s="2" t="s">
        <v>89</v>
      </c>
      <c r="C47" s="2" t="s">
        <v>90</v>
      </c>
      <c r="D47" s="2" t="s">
        <v>90</v>
      </c>
      <c r="E47" s="2" t="s">
        <v>90</v>
      </c>
      <c r="F47" s="2" t="s">
        <v>16</v>
      </c>
      <c r="G47" s="2" t="s">
        <v>90</v>
      </c>
      <c r="H47" s="2" t="s">
        <v>17</v>
      </c>
      <c r="I47" s="2" t="s">
        <v>90</v>
      </c>
      <c r="J47" s="2" t="s">
        <v>89</v>
      </c>
      <c r="K47" s="2" t="s">
        <v>15</v>
      </c>
      <c r="L47" s="2" t="s">
        <v>90</v>
      </c>
      <c r="M47" s="2" t="s">
        <v>90</v>
      </c>
      <c r="N47" s="2" t="s">
        <v>90</v>
      </c>
      <c r="O47" s="2" t="s">
        <v>90</v>
      </c>
      <c r="P47" s="2" t="s">
        <v>90</v>
      </c>
      <c r="Q47" s="2" t="s">
        <v>90</v>
      </c>
      <c r="R47" s="2" t="s">
        <v>90</v>
      </c>
      <c r="S47" s="2" t="s">
        <v>90</v>
      </c>
      <c r="T47" s="2" t="str">
        <f t="shared" si="1"/>
        <v>Catán</v>
      </c>
    </row>
    <row r="48" ht="12.75" customHeight="1">
      <c r="A48" s="2" t="s">
        <v>431</v>
      </c>
      <c r="B48" s="2" t="s">
        <v>16</v>
      </c>
      <c r="C48" s="2" t="s">
        <v>90</v>
      </c>
      <c r="D48" s="2" t="s">
        <v>90</v>
      </c>
      <c r="E48" s="2" t="s">
        <v>90</v>
      </c>
      <c r="F48" s="2" t="s">
        <v>15</v>
      </c>
      <c r="G48" s="2" t="s">
        <v>90</v>
      </c>
      <c r="H48" s="2" t="s">
        <v>90</v>
      </c>
      <c r="I48" s="2" t="s">
        <v>90</v>
      </c>
      <c r="J48" s="2" t="s">
        <v>17</v>
      </c>
      <c r="K48" s="2" t="s">
        <v>90</v>
      </c>
      <c r="L48" s="2" t="s">
        <v>90</v>
      </c>
      <c r="M48" s="2" t="s">
        <v>90</v>
      </c>
      <c r="N48" s="2" t="s">
        <v>90</v>
      </c>
      <c r="O48" s="2" t="s">
        <v>90</v>
      </c>
      <c r="P48" s="2" t="s">
        <v>90</v>
      </c>
      <c r="Q48" s="2" t="s">
        <v>90</v>
      </c>
      <c r="R48" s="2" t="s">
        <v>90</v>
      </c>
      <c r="S48" s="2" t="s">
        <v>90</v>
      </c>
      <c r="T48" s="2" t="str">
        <f t="shared" si="1"/>
        <v>Magic (cartas)</v>
      </c>
    </row>
    <row r="49" ht="12.75" customHeight="1">
      <c r="A49" s="2">
        <v>-1.0</v>
      </c>
      <c r="B49" s="2" t="s">
        <v>89</v>
      </c>
      <c r="C49" s="2" t="s">
        <v>90</v>
      </c>
      <c r="D49" s="2" t="s">
        <v>89</v>
      </c>
      <c r="E49" s="2" t="s">
        <v>90</v>
      </c>
      <c r="F49" s="2" t="s">
        <v>15</v>
      </c>
      <c r="G49" s="2" t="s">
        <v>90</v>
      </c>
      <c r="H49" s="2" t="s">
        <v>89</v>
      </c>
      <c r="I49" s="2" t="s">
        <v>16</v>
      </c>
      <c r="J49" s="2" t="s">
        <v>89</v>
      </c>
      <c r="K49" s="2" t="s">
        <v>17</v>
      </c>
      <c r="L49" s="2" t="s">
        <v>90</v>
      </c>
      <c r="M49" s="2" t="s">
        <v>90</v>
      </c>
      <c r="N49" s="2" t="s">
        <v>90</v>
      </c>
      <c r="O49" s="2" t="s">
        <v>90</v>
      </c>
      <c r="P49" s="2" t="s">
        <v>90</v>
      </c>
      <c r="Q49" s="2" t="s">
        <v>90</v>
      </c>
      <c r="R49" s="2" t="s">
        <v>89</v>
      </c>
      <c r="S49" s="2" t="s">
        <v>90</v>
      </c>
      <c r="T49" s="2">
        <f t="shared" si="1"/>
        <v>-1</v>
      </c>
    </row>
    <row r="50" ht="12.75" customHeight="1">
      <c r="A50" s="2" t="s">
        <v>18</v>
      </c>
      <c r="B50" s="2" t="s">
        <v>89</v>
      </c>
      <c r="C50" s="2" t="s">
        <v>90</v>
      </c>
      <c r="D50" s="2" t="s">
        <v>16</v>
      </c>
      <c r="E50" s="2" t="s">
        <v>90</v>
      </c>
      <c r="F50" s="2" t="s">
        <v>16</v>
      </c>
      <c r="G50" s="2" t="s">
        <v>90</v>
      </c>
      <c r="H50" s="2" t="s">
        <v>90</v>
      </c>
      <c r="I50" s="2" t="s">
        <v>89</v>
      </c>
      <c r="J50" s="2" t="s">
        <v>16</v>
      </c>
      <c r="K50" s="2" t="s">
        <v>89</v>
      </c>
      <c r="L50" s="2" t="s">
        <v>90</v>
      </c>
      <c r="M50" s="2" t="s">
        <v>90</v>
      </c>
      <c r="N50" s="2" t="s">
        <v>90</v>
      </c>
      <c r="O50" s="2" t="s">
        <v>90</v>
      </c>
      <c r="P50" s="2" t="s">
        <v>90</v>
      </c>
      <c r="Q50" s="2" t="s">
        <v>90</v>
      </c>
      <c r="R50" s="2" t="s">
        <v>16</v>
      </c>
      <c r="S50" s="2" t="s">
        <v>90</v>
      </c>
      <c r="T50" s="2" t="str">
        <f t="shared" si="1"/>
        <v>Fútbol</v>
      </c>
    </row>
    <row r="51" ht="12.75" customHeight="1">
      <c r="A51" s="2" t="s">
        <v>253</v>
      </c>
      <c r="B51" s="2" t="s">
        <v>89</v>
      </c>
      <c r="C51" s="2" t="s">
        <v>90</v>
      </c>
      <c r="D51" s="2" t="s">
        <v>89</v>
      </c>
      <c r="E51" s="2" t="s">
        <v>90</v>
      </c>
      <c r="F51" s="2" t="s">
        <v>15</v>
      </c>
      <c r="G51" s="2" t="s">
        <v>90</v>
      </c>
      <c r="H51" s="2" t="s">
        <v>17</v>
      </c>
      <c r="I51" s="2" t="s">
        <v>90</v>
      </c>
      <c r="J51" s="2" t="s">
        <v>89</v>
      </c>
      <c r="K51" s="2" t="s">
        <v>90</v>
      </c>
      <c r="L51" s="2" t="s">
        <v>90</v>
      </c>
      <c r="M51" s="2" t="s">
        <v>90</v>
      </c>
      <c r="N51" s="2" t="s">
        <v>90</v>
      </c>
      <c r="O51" s="2" t="s">
        <v>90</v>
      </c>
      <c r="P51" s="2" t="s">
        <v>90</v>
      </c>
      <c r="Q51" s="2" t="s">
        <v>90</v>
      </c>
      <c r="R51" s="2" t="s">
        <v>16</v>
      </c>
      <c r="S51" s="2" t="s">
        <v>90</v>
      </c>
      <c r="T51" s="2" t="str">
        <f t="shared" si="1"/>
        <v>Ajedrez</v>
      </c>
    </row>
    <row r="52" ht="12.75" customHeight="1">
      <c r="A52" s="2" t="s">
        <v>92</v>
      </c>
      <c r="B52" s="2" t="s">
        <v>90</v>
      </c>
      <c r="C52" s="2" t="s">
        <v>90</v>
      </c>
      <c r="D52" s="2" t="s">
        <v>89</v>
      </c>
      <c r="E52" s="2" t="s">
        <v>90</v>
      </c>
      <c r="F52" s="2" t="s">
        <v>16</v>
      </c>
      <c r="G52" s="2" t="s">
        <v>90</v>
      </c>
      <c r="H52" s="2" t="s">
        <v>17</v>
      </c>
      <c r="I52" s="2" t="s">
        <v>90</v>
      </c>
      <c r="J52" s="2" t="s">
        <v>90</v>
      </c>
      <c r="K52" s="2" t="s">
        <v>90</v>
      </c>
      <c r="L52" s="2" t="s">
        <v>90</v>
      </c>
      <c r="M52" s="2" t="s">
        <v>90</v>
      </c>
      <c r="N52" s="2" t="s">
        <v>90</v>
      </c>
      <c r="O52" s="2" t="s">
        <v>90</v>
      </c>
      <c r="P52" s="2" t="s">
        <v>90</v>
      </c>
      <c r="Q52" s="2" t="s">
        <v>90</v>
      </c>
      <c r="R52" s="2" t="s">
        <v>15</v>
      </c>
      <c r="S52" s="2" t="s">
        <v>90</v>
      </c>
      <c r="T52" s="2" t="str">
        <f t="shared" si="1"/>
        <v>Mario Kart</v>
      </c>
    </row>
    <row r="53" ht="12.75" customHeight="1">
      <c r="A53" s="2" t="s">
        <v>92</v>
      </c>
      <c r="B53" s="2" t="s">
        <v>90</v>
      </c>
      <c r="C53" s="2" t="s">
        <v>90</v>
      </c>
      <c r="D53" s="2" t="s">
        <v>16</v>
      </c>
      <c r="E53" s="2" t="s">
        <v>90</v>
      </c>
      <c r="F53" s="2" t="s">
        <v>15</v>
      </c>
      <c r="G53" s="2" t="s">
        <v>90</v>
      </c>
      <c r="H53" s="2" t="s">
        <v>16</v>
      </c>
      <c r="I53" s="2" t="s">
        <v>90</v>
      </c>
      <c r="J53" s="2" t="s">
        <v>15</v>
      </c>
      <c r="K53" s="2" t="s">
        <v>90</v>
      </c>
      <c r="L53" s="2" t="s">
        <v>90</v>
      </c>
      <c r="M53" s="2" t="s">
        <v>90</v>
      </c>
      <c r="N53" s="2" t="s">
        <v>90</v>
      </c>
      <c r="O53" s="2" t="s">
        <v>90</v>
      </c>
      <c r="P53" s="2" t="s">
        <v>90</v>
      </c>
      <c r="Q53" s="2" t="s">
        <v>90</v>
      </c>
      <c r="R53" s="2" t="s">
        <v>16</v>
      </c>
      <c r="S53" s="2" t="s">
        <v>90</v>
      </c>
      <c r="T53" s="2" t="str">
        <f t="shared" si="1"/>
        <v>Mario Kart</v>
      </c>
    </row>
    <row r="54" ht="12.75" customHeight="1">
      <c r="A54" s="2" t="s">
        <v>29</v>
      </c>
      <c r="B54" s="2" t="s">
        <v>89</v>
      </c>
      <c r="C54" s="2" t="s">
        <v>90</v>
      </c>
      <c r="D54" s="2" t="s">
        <v>90</v>
      </c>
      <c r="E54" s="2" t="s">
        <v>90</v>
      </c>
      <c r="F54" s="2" t="s">
        <v>16</v>
      </c>
      <c r="G54" s="2" t="s">
        <v>90</v>
      </c>
      <c r="H54" s="2" t="s">
        <v>90</v>
      </c>
      <c r="I54" s="2" t="s">
        <v>89</v>
      </c>
      <c r="J54" s="2" t="s">
        <v>90</v>
      </c>
      <c r="K54" s="2" t="s">
        <v>90</v>
      </c>
      <c r="L54" s="2" t="s">
        <v>90</v>
      </c>
      <c r="M54" s="2" t="s">
        <v>90</v>
      </c>
      <c r="N54" s="2" t="s">
        <v>90</v>
      </c>
      <c r="O54" s="2" t="s">
        <v>90</v>
      </c>
      <c r="P54" s="2" t="s">
        <v>90</v>
      </c>
      <c r="Q54" s="2" t="s">
        <v>90</v>
      </c>
      <c r="R54" s="2" t="s">
        <v>16</v>
      </c>
      <c r="S54" s="2" t="s">
        <v>90</v>
      </c>
      <c r="T54" s="2" t="str">
        <f t="shared" si="1"/>
        <v>Baloncesto</v>
      </c>
    </row>
    <row r="55" ht="12.75" customHeight="1">
      <c r="A55" s="2" t="s">
        <v>33</v>
      </c>
      <c r="B55" s="2" t="s">
        <v>16</v>
      </c>
      <c r="C55" s="2" t="s">
        <v>90</v>
      </c>
      <c r="D55" s="2" t="s">
        <v>89</v>
      </c>
      <c r="E55" s="2" t="s">
        <v>90</v>
      </c>
      <c r="F55" s="2" t="s">
        <v>89</v>
      </c>
      <c r="G55" s="2" t="s">
        <v>90</v>
      </c>
      <c r="H55" s="2" t="s">
        <v>15</v>
      </c>
      <c r="I55" s="2" t="s">
        <v>90</v>
      </c>
      <c r="J55" s="2" t="s">
        <v>89</v>
      </c>
      <c r="K55" s="2" t="s">
        <v>90</v>
      </c>
      <c r="L55" s="2" t="s">
        <v>90</v>
      </c>
      <c r="M55" s="2" t="s">
        <v>90</v>
      </c>
      <c r="N55" s="2" t="s">
        <v>90</v>
      </c>
      <c r="O55" s="2" t="s">
        <v>90</v>
      </c>
      <c r="P55" s="2" t="s">
        <v>90</v>
      </c>
      <c r="Q55" s="2" t="s">
        <v>90</v>
      </c>
      <c r="R55" s="2" t="s">
        <v>17</v>
      </c>
      <c r="S55" s="2" t="s">
        <v>90</v>
      </c>
      <c r="T55" s="2" t="str">
        <f t="shared" si="1"/>
        <v>Burro</v>
      </c>
    </row>
    <row r="56" ht="12.75" customHeight="1">
      <c r="A56" s="2" t="s">
        <v>432</v>
      </c>
      <c r="B56" s="2" t="s">
        <v>16</v>
      </c>
      <c r="C56" s="2" t="s">
        <v>90</v>
      </c>
      <c r="D56" s="2" t="s">
        <v>15</v>
      </c>
      <c r="E56" s="2" t="s">
        <v>90</v>
      </c>
      <c r="F56" s="2" t="s">
        <v>16</v>
      </c>
      <c r="G56" s="2" t="s">
        <v>90</v>
      </c>
      <c r="H56" s="2" t="s">
        <v>15</v>
      </c>
      <c r="I56" s="2" t="s">
        <v>16</v>
      </c>
      <c r="J56" s="2" t="s">
        <v>16</v>
      </c>
      <c r="K56" s="2" t="s">
        <v>90</v>
      </c>
      <c r="L56" s="2" t="s">
        <v>90</v>
      </c>
      <c r="M56" s="2" t="s">
        <v>90</v>
      </c>
      <c r="N56" s="2" t="s">
        <v>90</v>
      </c>
      <c r="O56" s="2" t="s">
        <v>90</v>
      </c>
      <c r="P56" s="2" t="s">
        <v>90</v>
      </c>
      <c r="Q56" s="2" t="s">
        <v>90</v>
      </c>
      <c r="R56" s="2" t="s">
        <v>15</v>
      </c>
      <c r="S56" s="2" t="s">
        <v>90</v>
      </c>
      <c r="T56" s="2" t="str">
        <f t="shared" si="1"/>
        <v>Voleibol</v>
      </c>
    </row>
    <row r="57" ht="12.75" customHeight="1">
      <c r="A57" s="2" t="s">
        <v>201</v>
      </c>
      <c r="B57" s="2" t="s">
        <v>16</v>
      </c>
      <c r="C57" s="2" t="s">
        <v>90</v>
      </c>
      <c r="D57" s="2" t="s">
        <v>15</v>
      </c>
      <c r="E57" s="2" t="s">
        <v>90</v>
      </c>
      <c r="F57" s="2" t="s">
        <v>17</v>
      </c>
      <c r="G57" s="2" t="s">
        <v>90</v>
      </c>
      <c r="H57" s="2" t="s">
        <v>17</v>
      </c>
      <c r="I57" s="2" t="s">
        <v>16</v>
      </c>
      <c r="J57" s="2" t="s">
        <v>17</v>
      </c>
      <c r="K57" s="2" t="s">
        <v>90</v>
      </c>
      <c r="L57" s="2" t="s">
        <v>90</v>
      </c>
      <c r="M57" s="2" t="s">
        <v>90</v>
      </c>
      <c r="N57" s="2" t="s">
        <v>90</v>
      </c>
      <c r="O57" s="2" t="s">
        <v>90</v>
      </c>
      <c r="P57" s="2" t="s">
        <v>90</v>
      </c>
      <c r="Q57" s="2" t="s">
        <v>90</v>
      </c>
      <c r="R57" s="2" t="s">
        <v>15</v>
      </c>
      <c r="S57" s="2" t="s">
        <v>90</v>
      </c>
      <c r="T57" s="2" t="str">
        <f t="shared" si="1"/>
        <v>Badminton</v>
      </c>
    </row>
    <row r="58" ht="12.75" customHeight="1">
      <c r="A58" s="2" t="s">
        <v>433</v>
      </c>
      <c r="B58" s="2" t="s">
        <v>17</v>
      </c>
      <c r="C58" s="2" t="s">
        <v>90</v>
      </c>
      <c r="D58" s="2" t="s">
        <v>89</v>
      </c>
      <c r="E58" s="2" t="s">
        <v>90</v>
      </c>
      <c r="F58" s="2" t="s">
        <v>89</v>
      </c>
      <c r="G58" s="2" t="s">
        <v>90</v>
      </c>
      <c r="H58" s="2" t="s">
        <v>89</v>
      </c>
      <c r="I58" s="2" t="s">
        <v>15</v>
      </c>
      <c r="J58" s="2" t="s">
        <v>89</v>
      </c>
      <c r="K58" s="2" t="s">
        <v>90</v>
      </c>
      <c r="L58" s="2" t="s">
        <v>90</v>
      </c>
      <c r="M58" s="2" t="s">
        <v>90</v>
      </c>
      <c r="N58" s="2" t="s">
        <v>90</v>
      </c>
      <c r="O58" s="2" t="s">
        <v>90</v>
      </c>
      <c r="P58" s="2" t="s">
        <v>90</v>
      </c>
      <c r="Q58" s="2" t="s">
        <v>90</v>
      </c>
      <c r="R58" s="2" t="s">
        <v>16</v>
      </c>
      <c r="S58" s="2" t="s">
        <v>90</v>
      </c>
      <c r="T58" s="2" t="str">
        <f t="shared" si="1"/>
        <v>Badminton solo</v>
      </c>
    </row>
    <row r="59" ht="12.75" customHeight="1">
      <c r="A59" s="2" t="s">
        <v>266</v>
      </c>
      <c r="B59" s="2" t="s">
        <v>17</v>
      </c>
      <c r="C59" s="2" t="s">
        <v>90</v>
      </c>
      <c r="D59" s="2" t="s">
        <v>17</v>
      </c>
      <c r="E59" s="2" t="s">
        <v>90</v>
      </c>
      <c r="F59" s="2" t="s">
        <v>16</v>
      </c>
      <c r="G59" s="2" t="s">
        <v>90</v>
      </c>
      <c r="H59" s="2" t="s">
        <v>15</v>
      </c>
      <c r="I59" s="2" t="s">
        <v>90</v>
      </c>
      <c r="J59" s="2" t="s">
        <v>17</v>
      </c>
      <c r="K59" s="2" t="s">
        <v>90</v>
      </c>
      <c r="L59" s="2" t="s">
        <v>90</v>
      </c>
      <c r="M59" s="2" t="s">
        <v>90</v>
      </c>
      <c r="N59" s="2" t="s">
        <v>90</v>
      </c>
      <c r="O59" s="2" t="s">
        <v>90</v>
      </c>
      <c r="P59" s="2" t="s">
        <v>90</v>
      </c>
      <c r="Q59" s="2" t="s">
        <v>90</v>
      </c>
      <c r="R59" s="2" t="s">
        <v>17</v>
      </c>
      <c r="S59" s="2" t="s">
        <v>90</v>
      </c>
      <c r="T59" s="2" t="str">
        <f t="shared" si="1"/>
        <v>Interferencias</v>
      </c>
    </row>
    <row r="60" ht="12.75" customHeight="1">
      <c r="A60" s="2" t="s">
        <v>370</v>
      </c>
      <c r="B60" s="2" t="s">
        <v>16</v>
      </c>
      <c r="C60" s="2" t="s">
        <v>90</v>
      </c>
      <c r="D60" s="2" t="s">
        <v>15</v>
      </c>
      <c r="E60" s="2" t="s">
        <v>90</v>
      </c>
      <c r="F60" s="2" t="s">
        <v>17</v>
      </c>
      <c r="G60" s="2" t="s">
        <v>90</v>
      </c>
      <c r="H60" s="2" t="s">
        <v>89</v>
      </c>
      <c r="I60" s="2" t="s">
        <v>89</v>
      </c>
      <c r="J60" s="2" t="s">
        <v>17</v>
      </c>
      <c r="K60" s="2" t="s">
        <v>90</v>
      </c>
      <c r="L60" s="2" t="s">
        <v>90</v>
      </c>
      <c r="M60" s="2" t="s">
        <v>90</v>
      </c>
      <c r="N60" s="2" t="s">
        <v>90</v>
      </c>
      <c r="O60" s="2" t="s">
        <v>90</v>
      </c>
      <c r="P60" s="2" t="s">
        <v>90</v>
      </c>
      <c r="Q60" s="2" t="s">
        <v>90</v>
      </c>
      <c r="R60" s="2" t="s">
        <v>15</v>
      </c>
      <c r="S60" s="2" t="s">
        <v>90</v>
      </c>
      <c r="T60" s="2" t="str">
        <f t="shared" si="1"/>
        <v>Trenes</v>
      </c>
    </row>
    <row r="61" ht="12.75" customHeight="1">
      <c r="A61" s="2" t="s">
        <v>425</v>
      </c>
      <c r="B61" s="2" t="s">
        <v>89</v>
      </c>
      <c r="C61" s="2" t="s">
        <v>90</v>
      </c>
      <c r="D61" s="2" t="s">
        <v>89</v>
      </c>
      <c r="E61" s="2" t="s">
        <v>90</v>
      </c>
      <c r="F61" s="2" t="s">
        <v>16</v>
      </c>
      <c r="G61" s="2" t="s">
        <v>90</v>
      </c>
      <c r="H61" s="2" t="s">
        <v>15</v>
      </c>
      <c r="I61" s="2" t="s">
        <v>90</v>
      </c>
      <c r="J61" s="2" t="s">
        <v>15</v>
      </c>
      <c r="K61" s="2" t="s">
        <v>90</v>
      </c>
      <c r="L61" s="2" t="s">
        <v>90</v>
      </c>
      <c r="M61" s="2" t="s">
        <v>90</v>
      </c>
      <c r="N61" s="2" t="s">
        <v>90</v>
      </c>
      <c r="O61" s="2" t="s">
        <v>90</v>
      </c>
      <c r="P61" s="2" t="s">
        <v>90</v>
      </c>
      <c r="Q61" s="2" t="s">
        <v>90</v>
      </c>
      <c r="R61" s="2" t="s">
        <v>89</v>
      </c>
      <c r="S61" s="2" t="s">
        <v>90</v>
      </c>
      <c r="T61" s="2" t="str">
        <f t="shared" si="1"/>
        <v>¿Alguien ha probado este juego?</v>
      </c>
    </row>
    <row r="62" ht="12.75" customHeight="1">
      <c r="A62" s="2" t="s">
        <v>389</v>
      </c>
      <c r="B62" s="2" t="s">
        <v>89</v>
      </c>
      <c r="C62" s="2" t="s">
        <v>90</v>
      </c>
      <c r="D62" s="2" t="s">
        <v>17</v>
      </c>
      <c r="E62" s="2" t="s">
        <v>90</v>
      </c>
      <c r="F62" s="2" t="s">
        <v>15</v>
      </c>
      <c r="G62" s="2" t="s">
        <v>90</v>
      </c>
      <c r="H62" s="2" t="s">
        <v>16</v>
      </c>
      <c r="I62" s="2" t="s">
        <v>89</v>
      </c>
      <c r="J62" s="2" t="s">
        <v>89</v>
      </c>
      <c r="K62" s="2" t="s">
        <v>90</v>
      </c>
      <c r="L62" s="2" t="s">
        <v>90</v>
      </c>
      <c r="M62" s="2" t="s">
        <v>90</v>
      </c>
      <c r="N62" s="2" t="s">
        <v>90</v>
      </c>
      <c r="O62" s="2" t="s">
        <v>90</v>
      </c>
      <c r="P62" s="2" t="s">
        <v>90</v>
      </c>
      <c r="Q62" s="2" t="s">
        <v>90</v>
      </c>
      <c r="R62" s="2" t="s">
        <v>90</v>
      </c>
      <c r="S62" s="2" t="s">
        <v>90</v>
      </c>
      <c r="T62" s="2" t="str">
        <f t="shared" si="1"/>
        <v>Mentiroso</v>
      </c>
    </row>
    <row r="63" ht="12.75" customHeight="1">
      <c r="A63" s="2" t="s">
        <v>23</v>
      </c>
      <c r="B63" s="2" t="s">
        <v>16</v>
      </c>
      <c r="C63" s="2" t="s">
        <v>90</v>
      </c>
      <c r="D63" s="2" t="s">
        <v>89</v>
      </c>
      <c r="E63" s="2" t="s">
        <v>90</v>
      </c>
      <c r="F63" s="2" t="s">
        <v>89</v>
      </c>
      <c r="G63" s="2" t="s">
        <v>15</v>
      </c>
      <c r="H63" s="2" t="s">
        <v>89</v>
      </c>
      <c r="I63" s="2" t="s">
        <v>17</v>
      </c>
      <c r="J63" s="2" t="s">
        <v>89</v>
      </c>
      <c r="K63" s="2" t="s">
        <v>90</v>
      </c>
      <c r="L63" s="2" t="s">
        <v>90</v>
      </c>
      <c r="M63" s="2" t="s">
        <v>90</v>
      </c>
      <c r="N63" s="2" t="s">
        <v>90</v>
      </c>
      <c r="O63" s="2" t="s">
        <v>90</v>
      </c>
      <c r="P63" s="2" t="s">
        <v>90</v>
      </c>
      <c r="Q63" s="2" t="s">
        <v>90</v>
      </c>
      <c r="R63" s="2" t="s">
        <v>89</v>
      </c>
      <c r="S63" s="2" t="s">
        <v>90</v>
      </c>
      <c r="T63" s="2" t="str">
        <f t="shared" si="1"/>
        <v>Frontón</v>
      </c>
    </row>
    <row r="64" ht="12.75" customHeight="1">
      <c r="A64" s="2" t="s">
        <v>29</v>
      </c>
      <c r="B64" s="2" t="s">
        <v>15</v>
      </c>
      <c r="C64" s="2" t="s">
        <v>90</v>
      </c>
      <c r="D64" s="2" t="s">
        <v>90</v>
      </c>
      <c r="E64" s="2" t="s">
        <v>90</v>
      </c>
      <c r="F64" s="2" t="s">
        <v>16</v>
      </c>
      <c r="G64" s="2" t="s">
        <v>90</v>
      </c>
      <c r="H64" s="2" t="s">
        <v>90</v>
      </c>
      <c r="I64" s="2" t="s">
        <v>15</v>
      </c>
      <c r="J64" s="2" t="s">
        <v>90</v>
      </c>
      <c r="K64" s="2" t="s">
        <v>90</v>
      </c>
      <c r="L64" s="2" t="s">
        <v>90</v>
      </c>
      <c r="M64" s="2" t="s">
        <v>90</v>
      </c>
      <c r="N64" s="2" t="s">
        <v>90</v>
      </c>
      <c r="O64" s="2" t="s">
        <v>90</v>
      </c>
      <c r="P64" s="2" t="s">
        <v>90</v>
      </c>
      <c r="Q64" s="2" t="s">
        <v>90</v>
      </c>
      <c r="R64" s="2" t="s">
        <v>16</v>
      </c>
      <c r="S64" s="2" t="s">
        <v>90</v>
      </c>
      <c r="T64" s="2" t="str">
        <f t="shared" si="1"/>
        <v>Baloncesto</v>
      </c>
    </row>
    <row r="65" ht="12.75" customHeight="1">
      <c r="A65" s="2" t="s">
        <v>33</v>
      </c>
      <c r="B65" s="2" t="s">
        <v>15</v>
      </c>
      <c r="C65" s="2" t="s">
        <v>90</v>
      </c>
      <c r="D65" s="2" t="s">
        <v>89</v>
      </c>
      <c r="E65" s="2" t="s">
        <v>90</v>
      </c>
      <c r="F65" s="2" t="s">
        <v>16</v>
      </c>
      <c r="G65" s="2" t="s">
        <v>90</v>
      </c>
      <c r="H65" s="2" t="s">
        <v>89</v>
      </c>
      <c r="I65" s="2" t="s">
        <v>90</v>
      </c>
      <c r="J65" s="2" t="s">
        <v>90</v>
      </c>
      <c r="K65" s="2" t="s">
        <v>90</v>
      </c>
      <c r="L65" s="2" t="s">
        <v>90</v>
      </c>
      <c r="M65" s="2" t="s">
        <v>90</v>
      </c>
      <c r="N65" s="2" t="s">
        <v>90</v>
      </c>
      <c r="O65" s="2" t="s">
        <v>90</v>
      </c>
      <c r="P65" s="2" t="s">
        <v>90</v>
      </c>
      <c r="Q65" s="2" t="s">
        <v>90</v>
      </c>
      <c r="R65" s="2" t="s">
        <v>17</v>
      </c>
      <c r="S65" s="2" t="s">
        <v>90</v>
      </c>
      <c r="T65" s="2" t="str">
        <f t="shared" si="1"/>
        <v>Burro</v>
      </c>
    </row>
    <row r="66" ht="12.75" customHeight="1">
      <c r="A66" s="2">
        <v>-1.0</v>
      </c>
      <c r="B66" s="2" t="s">
        <v>16</v>
      </c>
      <c r="C66" s="2" t="s">
        <v>90</v>
      </c>
      <c r="D66" s="2" t="s">
        <v>89</v>
      </c>
      <c r="E66" s="2" t="s">
        <v>90</v>
      </c>
      <c r="F66" s="2" t="s">
        <v>15</v>
      </c>
      <c r="G66" s="2" t="s">
        <v>90</v>
      </c>
      <c r="H66" s="2" t="s">
        <v>89</v>
      </c>
      <c r="I66" s="2" t="s">
        <v>89</v>
      </c>
      <c r="J66" s="2" t="s">
        <v>89</v>
      </c>
      <c r="K66" s="2" t="s">
        <v>90</v>
      </c>
      <c r="L66" s="2" t="s">
        <v>90</v>
      </c>
      <c r="M66" s="2" t="s">
        <v>90</v>
      </c>
      <c r="N66" s="2" t="s">
        <v>90</v>
      </c>
      <c r="O66" s="2" t="s">
        <v>90</v>
      </c>
      <c r="P66" s="2" t="s">
        <v>90</v>
      </c>
      <c r="Q66" s="2" t="s">
        <v>90</v>
      </c>
      <c r="R66" s="2" t="s">
        <v>17</v>
      </c>
      <c r="S66" s="2" t="s">
        <v>90</v>
      </c>
      <c r="T66" s="2">
        <f t="shared" si="1"/>
        <v>-1</v>
      </c>
    </row>
    <row r="67" ht="12.75" customHeight="1">
      <c r="A67" s="2" t="s">
        <v>384</v>
      </c>
      <c r="B67" s="2" t="s">
        <v>90</v>
      </c>
      <c r="C67" s="2" t="s">
        <v>90</v>
      </c>
      <c r="D67" s="2" t="s">
        <v>90</v>
      </c>
      <c r="E67" s="2" t="s">
        <v>90</v>
      </c>
      <c r="F67" s="2" t="s">
        <v>15</v>
      </c>
      <c r="G67" s="2" t="s">
        <v>90</v>
      </c>
      <c r="H67" s="2" t="s">
        <v>89</v>
      </c>
      <c r="I67" s="2" t="s">
        <v>17</v>
      </c>
      <c r="J67" s="2" t="s">
        <v>89</v>
      </c>
      <c r="K67" s="2" t="s">
        <v>90</v>
      </c>
      <c r="L67" s="2" t="s">
        <v>90</v>
      </c>
      <c r="M67" s="2" t="s">
        <v>90</v>
      </c>
      <c r="N67" s="2" t="s">
        <v>90</v>
      </c>
      <c r="O67" s="2" t="s">
        <v>90</v>
      </c>
      <c r="P67" s="2" t="s">
        <v>90</v>
      </c>
      <c r="Q67" s="2" t="s">
        <v>90</v>
      </c>
      <c r="R67" s="2" t="s">
        <v>16</v>
      </c>
      <c r="S67" s="2" t="s">
        <v>90</v>
      </c>
      <c r="T67" s="2" t="str">
        <f t="shared" si="1"/>
        <v>Sprint</v>
      </c>
    </row>
    <row r="68" ht="12.75" customHeight="1">
      <c r="A68" s="2" t="s">
        <v>434</v>
      </c>
      <c r="B68" s="2" t="s">
        <v>16</v>
      </c>
      <c r="C68" s="2" t="s">
        <v>90</v>
      </c>
      <c r="D68" s="2" t="s">
        <v>89</v>
      </c>
      <c r="E68" s="2" t="s">
        <v>90</v>
      </c>
      <c r="F68" s="2" t="s">
        <v>89</v>
      </c>
      <c r="G68" s="2" t="s">
        <v>90</v>
      </c>
      <c r="H68" s="2" t="s">
        <v>89</v>
      </c>
      <c r="I68" s="2" t="s">
        <v>17</v>
      </c>
      <c r="J68" s="2" t="s">
        <v>89</v>
      </c>
      <c r="K68" s="2" t="s">
        <v>90</v>
      </c>
      <c r="L68" s="2" t="s">
        <v>90</v>
      </c>
      <c r="M68" s="2" t="s">
        <v>90</v>
      </c>
      <c r="N68" s="2" t="s">
        <v>90</v>
      </c>
      <c r="O68" s="2" t="s">
        <v>90</v>
      </c>
      <c r="P68" s="2" t="s">
        <v>90</v>
      </c>
      <c r="Q68" s="2" t="s">
        <v>90</v>
      </c>
      <c r="R68" s="2" t="s">
        <v>15</v>
      </c>
      <c r="S68" s="2" t="s">
        <v>90</v>
      </c>
      <c r="T68" s="2" t="str">
        <f t="shared" si="1"/>
        <v>Aviones de papel</v>
      </c>
    </row>
    <row r="69" ht="12.75" customHeight="1">
      <c r="A69" s="2" t="s">
        <v>435</v>
      </c>
      <c r="B69" s="2" t="s">
        <v>17</v>
      </c>
      <c r="C69" s="2" t="s">
        <v>90</v>
      </c>
      <c r="D69" s="2" t="s">
        <v>89</v>
      </c>
      <c r="E69" s="2" t="s">
        <v>90</v>
      </c>
      <c r="F69" s="2" t="s">
        <v>16</v>
      </c>
      <c r="G69" s="2" t="s">
        <v>90</v>
      </c>
      <c r="H69" s="2" t="s">
        <v>89</v>
      </c>
      <c r="I69" s="2" t="s">
        <v>89</v>
      </c>
      <c r="J69" s="2" t="s">
        <v>89</v>
      </c>
      <c r="K69" s="2" t="s">
        <v>90</v>
      </c>
      <c r="L69" s="2" t="s">
        <v>90</v>
      </c>
      <c r="M69" s="2" t="s">
        <v>90</v>
      </c>
      <c r="N69" s="2" t="s">
        <v>90</v>
      </c>
      <c r="O69" s="2" t="s">
        <v>90</v>
      </c>
      <c r="P69" s="2" t="s">
        <v>90</v>
      </c>
      <c r="Q69" s="2" t="s">
        <v>90</v>
      </c>
      <c r="R69" s="2" t="s">
        <v>15</v>
      </c>
      <c r="S69" s="2" t="s">
        <v>90</v>
      </c>
      <c r="T69" s="2" t="str">
        <f t="shared" si="1"/>
        <v>Lanzamiento pelota</v>
      </c>
    </row>
    <row r="70" ht="12.75" customHeight="1">
      <c r="A70" s="2" t="s">
        <v>436</v>
      </c>
      <c r="B70" s="2" t="s">
        <v>89</v>
      </c>
      <c r="C70" s="2" t="s">
        <v>90</v>
      </c>
      <c r="D70" s="2" t="s">
        <v>15</v>
      </c>
      <c r="E70" s="2" t="s">
        <v>90</v>
      </c>
      <c r="F70" s="2" t="s">
        <v>89</v>
      </c>
      <c r="G70" s="2" t="s">
        <v>90</v>
      </c>
      <c r="H70" s="2" t="s">
        <v>17</v>
      </c>
      <c r="I70" s="2" t="s">
        <v>16</v>
      </c>
      <c r="J70" s="2" t="s">
        <v>89</v>
      </c>
      <c r="K70" s="2" t="s">
        <v>90</v>
      </c>
      <c r="L70" s="2" t="s">
        <v>90</v>
      </c>
      <c r="M70" s="2" t="s">
        <v>90</v>
      </c>
      <c r="N70" s="2" t="s">
        <v>90</v>
      </c>
      <c r="O70" s="2" t="s">
        <v>90</v>
      </c>
      <c r="P70" s="2" t="s">
        <v>90</v>
      </c>
      <c r="Q70" s="2" t="s">
        <v>90</v>
      </c>
      <c r="R70" s="2" t="s">
        <v>89</v>
      </c>
      <c r="S70" s="2" t="s">
        <v>90</v>
      </c>
      <c r="T70" s="2" t="str">
        <f t="shared" si="1"/>
        <v>Punteria lanzar pelota</v>
      </c>
    </row>
    <row r="71" ht="12.75" customHeight="1">
      <c r="A71" s="2" t="s">
        <v>437</v>
      </c>
      <c r="B71" s="2" t="s">
        <v>15</v>
      </c>
      <c r="C71" s="2" t="s">
        <v>90</v>
      </c>
      <c r="D71" s="2" t="s">
        <v>90</v>
      </c>
      <c r="E71" s="2" t="s">
        <v>90</v>
      </c>
      <c r="F71" s="2" t="s">
        <v>17</v>
      </c>
      <c r="G71" s="2" t="s">
        <v>90</v>
      </c>
      <c r="H71" s="2" t="s">
        <v>17</v>
      </c>
      <c r="I71" s="2" t="s">
        <v>16</v>
      </c>
      <c r="J71" s="2" t="s">
        <v>15</v>
      </c>
      <c r="K71" s="2" t="s">
        <v>90</v>
      </c>
      <c r="L71" s="2" t="s">
        <v>90</v>
      </c>
      <c r="M71" s="2" t="s">
        <v>90</v>
      </c>
      <c r="N71" s="2" t="s">
        <v>90</v>
      </c>
      <c r="O71" s="2" t="s">
        <v>90</v>
      </c>
      <c r="P71" s="2" t="s">
        <v>90</v>
      </c>
      <c r="Q71" s="2" t="s">
        <v>90</v>
      </c>
      <c r="R71" s="2" t="s">
        <v>16</v>
      </c>
      <c r="S71" s="2" t="s">
        <v>90</v>
      </c>
      <c r="T71" s="2" t="str">
        <f t="shared" si="1"/>
        <v>Lanzamiento beisol</v>
      </c>
    </row>
    <row r="72" ht="12.75" customHeight="1">
      <c r="A72" s="2" t="s">
        <v>438</v>
      </c>
      <c r="B72" s="2" t="s">
        <v>17</v>
      </c>
      <c r="C72" s="2" t="s">
        <v>90</v>
      </c>
      <c r="D72" s="2" t="s">
        <v>90</v>
      </c>
      <c r="E72" s="2" t="s">
        <v>90</v>
      </c>
      <c r="F72" s="2" t="s">
        <v>15</v>
      </c>
      <c r="G72" s="2" t="s">
        <v>90</v>
      </c>
      <c r="H72" s="2" t="s">
        <v>15</v>
      </c>
      <c r="I72" s="2" t="s">
        <v>16</v>
      </c>
      <c r="J72" s="2" t="s">
        <v>17</v>
      </c>
      <c r="K72" s="2" t="s">
        <v>90</v>
      </c>
      <c r="L72" s="2" t="s">
        <v>90</v>
      </c>
      <c r="M72" s="2" t="s">
        <v>90</v>
      </c>
      <c r="N72" s="2" t="s">
        <v>90</v>
      </c>
      <c r="O72" s="2" t="s">
        <v>90</v>
      </c>
      <c r="P72" s="2" t="s">
        <v>90</v>
      </c>
      <c r="Q72" s="2" t="s">
        <v>90</v>
      </c>
      <c r="R72" s="2" t="s">
        <v>16</v>
      </c>
      <c r="S72" s="2" t="s">
        <v>90</v>
      </c>
      <c r="T72" s="2" t="str">
        <f t="shared" si="1"/>
        <v>Lanzamiento pareja</v>
      </c>
    </row>
    <row r="73" ht="12.75" customHeight="1">
      <c r="A73" s="2" t="s">
        <v>439</v>
      </c>
      <c r="B73" s="2" t="s">
        <v>15</v>
      </c>
      <c r="C73" s="2" t="s">
        <v>90</v>
      </c>
      <c r="D73" s="2" t="s">
        <v>90</v>
      </c>
      <c r="E73" s="2" t="s">
        <v>90</v>
      </c>
      <c r="F73" s="2" t="s">
        <v>16</v>
      </c>
      <c r="G73" s="2" t="s">
        <v>90</v>
      </c>
      <c r="H73" s="2" t="s">
        <v>15</v>
      </c>
      <c r="I73" s="2" t="s">
        <v>90</v>
      </c>
      <c r="J73" s="2" t="s">
        <v>16</v>
      </c>
      <c r="K73" s="2" t="s">
        <v>90</v>
      </c>
      <c r="L73" s="2" t="s">
        <v>90</v>
      </c>
      <c r="M73" s="2" t="s">
        <v>90</v>
      </c>
      <c r="N73" s="2" t="s">
        <v>90</v>
      </c>
      <c r="O73" s="2" t="s">
        <v>90</v>
      </c>
      <c r="P73" s="2" t="s">
        <v>90</v>
      </c>
      <c r="Q73" s="2" t="s">
        <v>90</v>
      </c>
      <c r="R73" s="2" t="s">
        <v>90</v>
      </c>
      <c r="S73" s="2" t="s">
        <v>90</v>
      </c>
      <c r="T73" s="2" t="str">
        <f t="shared" si="1"/>
        <v>Beisbol</v>
      </c>
    </row>
    <row r="74" ht="12.75" customHeight="1">
      <c r="A74" s="2" t="s">
        <v>92</v>
      </c>
      <c r="B74" s="2" t="s">
        <v>89</v>
      </c>
      <c r="C74" s="2" t="s">
        <v>90</v>
      </c>
      <c r="D74" s="2" t="s">
        <v>90</v>
      </c>
      <c r="E74" s="2" t="s">
        <v>90</v>
      </c>
      <c r="F74" s="2" t="s">
        <v>16</v>
      </c>
      <c r="G74" s="2" t="s">
        <v>90</v>
      </c>
      <c r="H74" s="2" t="s">
        <v>17</v>
      </c>
      <c r="I74" s="2" t="s">
        <v>90</v>
      </c>
      <c r="J74" s="2" t="s">
        <v>89</v>
      </c>
      <c r="K74" s="2" t="s">
        <v>90</v>
      </c>
      <c r="L74" s="2" t="s">
        <v>90</v>
      </c>
      <c r="M74" s="2" t="s">
        <v>90</v>
      </c>
      <c r="N74" s="2" t="s">
        <v>90</v>
      </c>
      <c r="O74" s="2" t="s">
        <v>90</v>
      </c>
      <c r="P74" s="2" t="s">
        <v>90</v>
      </c>
      <c r="Q74" s="2" t="s">
        <v>90</v>
      </c>
      <c r="R74" s="2" t="s">
        <v>15</v>
      </c>
      <c r="S74" s="2" t="s">
        <v>90</v>
      </c>
      <c r="T74" s="2" t="str">
        <f t="shared" si="1"/>
        <v>Mario Kart</v>
      </c>
    </row>
    <row r="75" ht="12.75" customHeight="1">
      <c r="A75" s="2" t="s">
        <v>440</v>
      </c>
      <c r="B75" s="2" t="s">
        <v>90</v>
      </c>
      <c r="C75" s="2" t="s">
        <v>90</v>
      </c>
      <c r="D75" s="2" t="s">
        <v>16</v>
      </c>
      <c r="E75" s="2" t="s">
        <v>90</v>
      </c>
      <c r="F75" s="2" t="s">
        <v>17</v>
      </c>
      <c r="G75" s="2" t="s">
        <v>90</v>
      </c>
      <c r="H75" s="2" t="s">
        <v>15</v>
      </c>
      <c r="I75" s="2" t="s">
        <v>90</v>
      </c>
      <c r="J75" s="2" t="s">
        <v>90</v>
      </c>
      <c r="K75" s="2" t="s">
        <v>90</v>
      </c>
      <c r="L75" s="2" t="s">
        <v>90</v>
      </c>
      <c r="M75" s="2" t="s">
        <v>90</v>
      </c>
      <c r="N75" s="2" t="s">
        <v>90</v>
      </c>
      <c r="O75" s="2" t="s">
        <v>90</v>
      </c>
      <c r="P75" s="2" t="s">
        <v>90</v>
      </c>
      <c r="Q75" s="2" t="s">
        <v>90</v>
      </c>
      <c r="R75" s="2" t="s">
        <v>89</v>
      </c>
      <c r="S75" s="2" t="s">
        <v>90</v>
      </c>
      <c r="T75" s="2" t="str">
        <f t="shared" si="1"/>
        <v>Palabras encadenadas</v>
      </c>
    </row>
    <row r="76" ht="12.75" customHeight="1">
      <c r="A76" s="2" t="s">
        <v>196</v>
      </c>
      <c r="B76" s="2" t="s">
        <v>16</v>
      </c>
      <c r="C76" s="2" t="s">
        <v>90</v>
      </c>
      <c r="D76" s="2" t="s">
        <v>90</v>
      </c>
      <c r="E76" s="2" t="s">
        <v>90</v>
      </c>
      <c r="F76" s="2" t="s">
        <v>16</v>
      </c>
      <c r="G76" s="2" t="s">
        <v>90</v>
      </c>
      <c r="H76" s="2" t="s">
        <v>90</v>
      </c>
      <c r="I76" s="2" t="s">
        <v>90</v>
      </c>
      <c r="J76" s="2" t="s">
        <v>15</v>
      </c>
      <c r="K76" s="2" t="s">
        <v>90</v>
      </c>
      <c r="L76" s="2" t="s">
        <v>90</v>
      </c>
      <c r="M76" s="2" t="s">
        <v>90</v>
      </c>
      <c r="N76" s="2" t="s">
        <v>90</v>
      </c>
      <c r="O76" s="2" t="s">
        <v>90</v>
      </c>
      <c r="P76" s="2" t="s">
        <v>90</v>
      </c>
      <c r="Q76" s="2" t="s">
        <v>90</v>
      </c>
      <c r="R76" s="2" t="s">
        <v>90</v>
      </c>
      <c r="S76" s="2" t="s">
        <v>90</v>
      </c>
      <c r="T76" s="2" t="str">
        <f t="shared" si="1"/>
        <v>Call of Duty</v>
      </c>
    </row>
    <row r="77" ht="12.75" customHeight="1">
      <c r="A77" s="2" t="s">
        <v>253</v>
      </c>
      <c r="B77" s="2" t="s">
        <v>89</v>
      </c>
      <c r="C77" s="2" t="s">
        <v>90</v>
      </c>
      <c r="D77" s="2" t="s">
        <v>90</v>
      </c>
      <c r="E77" s="2" t="s">
        <v>90</v>
      </c>
      <c r="F77" s="2" t="s">
        <v>15</v>
      </c>
      <c r="G77" s="2" t="s">
        <v>90</v>
      </c>
      <c r="H77" s="2" t="s">
        <v>89</v>
      </c>
      <c r="I77" s="2" t="s">
        <v>90</v>
      </c>
      <c r="J77" s="2" t="s">
        <v>90</v>
      </c>
      <c r="K77" s="2" t="s">
        <v>90</v>
      </c>
      <c r="L77" s="2" t="s">
        <v>90</v>
      </c>
      <c r="M77" s="2" t="s">
        <v>90</v>
      </c>
      <c r="N77" s="2" t="s">
        <v>90</v>
      </c>
      <c r="O77" s="2" t="s">
        <v>90</v>
      </c>
      <c r="P77" s="2" t="s">
        <v>90</v>
      </c>
      <c r="Q77" s="2" t="s">
        <v>90</v>
      </c>
      <c r="R77" s="2" t="s">
        <v>16</v>
      </c>
      <c r="S77" s="2" t="s">
        <v>90</v>
      </c>
      <c r="T77" s="2" t="str">
        <f t="shared" si="1"/>
        <v>Ajedrez</v>
      </c>
    </row>
    <row r="78" ht="12.75" customHeight="1">
      <c r="A78" s="2" t="s">
        <v>31</v>
      </c>
      <c r="B78" s="2" t="s">
        <v>17</v>
      </c>
      <c r="C78" s="2" t="s">
        <v>90</v>
      </c>
      <c r="D78" s="2" t="s">
        <v>89</v>
      </c>
      <c r="E78" s="2" t="s">
        <v>90</v>
      </c>
      <c r="F78" s="2" t="s">
        <v>89</v>
      </c>
      <c r="G78" s="2" t="s">
        <v>90</v>
      </c>
      <c r="H78" s="2" t="s">
        <v>15</v>
      </c>
      <c r="I78" s="2" t="s">
        <v>89</v>
      </c>
      <c r="J78" s="2" t="s">
        <v>89</v>
      </c>
      <c r="K78" s="2" t="s">
        <v>90</v>
      </c>
      <c r="L78" s="2" t="s">
        <v>90</v>
      </c>
      <c r="M78" s="2" t="s">
        <v>90</v>
      </c>
      <c r="N78" s="2" t="s">
        <v>90</v>
      </c>
      <c r="O78" s="2" t="s">
        <v>90</v>
      </c>
      <c r="P78" s="2" t="s">
        <v>90</v>
      </c>
      <c r="Q78" s="2" t="s">
        <v>90</v>
      </c>
      <c r="R78" s="2" t="s">
        <v>16</v>
      </c>
      <c r="S78" s="2" t="s">
        <v>90</v>
      </c>
      <c r="T78" s="2" t="str">
        <f t="shared" si="1"/>
        <v>Dardos</v>
      </c>
    </row>
    <row r="79" ht="12.75" customHeight="1">
      <c r="A79" s="2" t="s">
        <v>441</v>
      </c>
      <c r="B79" s="2" t="s">
        <v>89</v>
      </c>
      <c r="C79" s="2" t="s">
        <v>90</v>
      </c>
      <c r="D79" s="2" t="s">
        <v>17</v>
      </c>
      <c r="E79" s="2" t="s">
        <v>90</v>
      </c>
      <c r="F79" s="2" t="s">
        <v>17</v>
      </c>
      <c r="G79" s="2" t="s">
        <v>90</v>
      </c>
      <c r="H79" s="2" t="s">
        <v>89</v>
      </c>
      <c r="I79" s="2" t="s">
        <v>89</v>
      </c>
      <c r="J79" s="2" t="s">
        <v>15</v>
      </c>
      <c r="K79" s="2" t="s">
        <v>90</v>
      </c>
      <c r="L79" s="2" t="s">
        <v>90</v>
      </c>
      <c r="M79" s="2" t="s">
        <v>90</v>
      </c>
      <c r="N79" s="2" t="s">
        <v>90</v>
      </c>
      <c r="O79" s="2" t="s">
        <v>90</v>
      </c>
      <c r="P79" s="2" t="s">
        <v>90</v>
      </c>
      <c r="Q79" s="2" t="s">
        <v>90</v>
      </c>
      <c r="R79" s="2" t="s">
        <v>16</v>
      </c>
      <c r="S79" s="2" t="s">
        <v>90</v>
      </c>
      <c r="T79" s="2" t="str">
        <f t="shared" si="1"/>
        <v>Petnca</v>
      </c>
    </row>
    <row r="80" ht="12.75" customHeight="1">
      <c r="A80" s="2" t="s">
        <v>442</v>
      </c>
      <c r="B80" s="2" t="s">
        <v>16</v>
      </c>
      <c r="C80" s="2" t="s">
        <v>90</v>
      </c>
      <c r="D80" s="2" t="s">
        <v>89</v>
      </c>
      <c r="E80" s="2" t="s">
        <v>90</v>
      </c>
      <c r="F80" s="2" t="s">
        <v>89</v>
      </c>
      <c r="G80" s="2" t="s">
        <v>90</v>
      </c>
      <c r="H80" s="2" t="s">
        <v>89</v>
      </c>
      <c r="I80" s="2" t="s">
        <v>17</v>
      </c>
      <c r="J80" s="2" t="s">
        <v>89</v>
      </c>
      <c r="K80" s="2" t="s">
        <v>90</v>
      </c>
      <c r="L80" s="2" t="s">
        <v>90</v>
      </c>
      <c r="M80" s="2" t="s">
        <v>90</v>
      </c>
      <c r="N80" s="2" t="s">
        <v>90</v>
      </c>
      <c r="O80" s="2" t="s">
        <v>90</v>
      </c>
      <c r="P80" s="2" t="s">
        <v>90</v>
      </c>
      <c r="Q80" s="2" t="s">
        <v>90</v>
      </c>
      <c r="R80" s="2" t="s">
        <v>15</v>
      </c>
      <c r="S80" s="2" t="s">
        <v>90</v>
      </c>
      <c r="T80" s="2" t="str">
        <f t="shared" si="1"/>
        <v>Toques balón</v>
      </c>
    </row>
    <row r="81" ht="12.75" customHeight="1">
      <c r="A81" s="2" t="s">
        <v>383</v>
      </c>
      <c r="B81" s="2" t="s">
        <v>15</v>
      </c>
      <c r="C81" s="2" t="s">
        <v>90</v>
      </c>
      <c r="D81" s="2" t="s">
        <v>89</v>
      </c>
      <c r="E81" s="2" t="s">
        <v>90</v>
      </c>
      <c r="F81" s="2" t="s">
        <v>16</v>
      </c>
      <c r="G81" s="2" t="s">
        <v>90</v>
      </c>
      <c r="H81" s="2" t="s">
        <v>89</v>
      </c>
      <c r="I81" s="2" t="s">
        <v>89</v>
      </c>
      <c r="J81" s="2" t="s">
        <v>89</v>
      </c>
      <c r="K81" s="2" t="s">
        <v>90</v>
      </c>
      <c r="L81" s="2" t="s">
        <v>90</v>
      </c>
      <c r="M81" s="2" t="s">
        <v>90</v>
      </c>
      <c r="N81" s="2" t="s">
        <v>90</v>
      </c>
      <c r="O81" s="2" t="s">
        <v>90</v>
      </c>
      <c r="P81" s="2" t="s">
        <v>90</v>
      </c>
      <c r="Q81" s="2" t="s">
        <v>90</v>
      </c>
      <c r="R81" s="2" t="s">
        <v>17</v>
      </c>
      <c r="S81" s="2" t="s">
        <v>90</v>
      </c>
      <c r="T81" s="2" t="str">
        <f t="shared" si="1"/>
        <v>Lanzar dardos</v>
      </c>
    </row>
    <row r="82" ht="12.75" customHeight="1">
      <c r="A82" s="2" t="s">
        <v>443</v>
      </c>
      <c r="B82" s="2" t="s">
        <v>15</v>
      </c>
      <c r="C82" s="2" t="s">
        <v>90</v>
      </c>
      <c r="D82" s="2" t="s">
        <v>89</v>
      </c>
      <c r="E82" s="2" t="s">
        <v>90</v>
      </c>
      <c r="F82" s="2" t="s">
        <v>16</v>
      </c>
      <c r="G82" s="2" t="s">
        <v>90</v>
      </c>
      <c r="H82" s="2" t="s">
        <v>17</v>
      </c>
      <c r="I82" s="2" t="s">
        <v>90</v>
      </c>
      <c r="J82" s="2" t="s">
        <v>90</v>
      </c>
      <c r="K82" s="2" t="s">
        <v>90</v>
      </c>
      <c r="L82" s="2" t="s">
        <v>90</v>
      </c>
      <c r="M82" s="2" t="s">
        <v>90</v>
      </c>
      <c r="N82" s="2" t="s">
        <v>90</v>
      </c>
      <c r="O82" s="2" t="s">
        <v>90</v>
      </c>
      <c r="P82" s="2" t="s">
        <v>90</v>
      </c>
      <c r="Q82" s="2" t="s">
        <v>90</v>
      </c>
      <c r="R82" s="2" t="s">
        <v>89</v>
      </c>
      <c r="S82" s="2" t="s">
        <v>90</v>
      </c>
      <c r="T82" s="2" t="str">
        <f t="shared" si="1"/>
        <v>Go sushi</v>
      </c>
    </row>
    <row r="83" ht="12.75" customHeight="1">
      <c r="A83" s="2" t="s">
        <v>444</v>
      </c>
      <c r="B83" s="2" t="s">
        <v>89</v>
      </c>
      <c r="C83" s="2" t="s">
        <v>90</v>
      </c>
      <c r="D83" s="2" t="s">
        <v>15</v>
      </c>
      <c r="E83" s="2" t="s">
        <v>90</v>
      </c>
      <c r="F83" s="2" t="s">
        <v>17</v>
      </c>
      <c r="G83" s="2" t="s">
        <v>90</v>
      </c>
      <c r="H83" s="2" t="s">
        <v>16</v>
      </c>
      <c r="I83" s="2" t="s">
        <v>90</v>
      </c>
      <c r="J83" s="2" t="s">
        <v>89</v>
      </c>
      <c r="K83" s="2" t="s">
        <v>90</v>
      </c>
      <c r="L83" s="2" t="s">
        <v>90</v>
      </c>
      <c r="M83" s="2" t="s">
        <v>90</v>
      </c>
      <c r="N83" s="2" t="s">
        <v>90</v>
      </c>
      <c r="O83" s="2" t="s">
        <v>90</v>
      </c>
      <c r="P83" s="2" t="s">
        <v>90</v>
      </c>
      <c r="Q83" s="2" t="s">
        <v>90</v>
      </c>
      <c r="R83" s="2" t="s">
        <v>15</v>
      </c>
      <c r="S83" s="2" t="s">
        <v>90</v>
      </c>
      <c r="T83" s="2" t="str">
        <f t="shared" si="1"/>
        <v>Kingdomino</v>
      </c>
    </row>
    <row r="84" ht="12.75" customHeight="1">
      <c r="A84" s="2" t="s">
        <v>389</v>
      </c>
      <c r="B84" s="2" t="s">
        <v>89</v>
      </c>
      <c r="C84" s="2" t="s">
        <v>90</v>
      </c>
      <c r="D84" s="2" t="s">
        <v>16</v>
      </c>
      <c r="E84" s="2" t="s">
        <v>90</v>
      </c>
      <c r="F84" s="2" t="s">
        <v>15</v>
      </c>
      <c r="G84" s="2" t="s">
        <v>90</v>
      </c>
      <c r="H84" s="2" t="s">
        <v>17</v>
      </c>
      <c r="I84" s="2" t="s">
        <v>90</v>
      </c>
      <c r="J84" s="2" t="s">
        <v>89</v>
      </c>
      <c r="K84" s="2" t="s">
        <v>90</v>
      </c>
      <c r="L84" s="2" t="s">
        <v>90</v>
      </c>
      <c r="M84" s="2" t="s">
        <v>90</v>
      </c>
      <c r="N84" s="2" t="s">
        <v>90</v>
      </c>
      <c r="O84" s="2" t="s">
        <v>90</v>
      </c>
      <c r="P84" s="2" t="s">
        <v>90</v>
      </c>
      <c r="Q84" s="2" t="s">
        <v>90</v>
      </c>
      <c r="R84" s="2" t="s">
        <v>90</v>
      </c>
      <c r="S84" s="2" t="s">
        <v>90</v>
      </c>
      <c r="T84" s="2" t="str">
        <f t="shared" si="1"/>
        <v>Mentiroso</v>
      </c>
    </row>
    <row r="85" ht="12.75" customHeight="1">
      <c r="A85" s="2" t="s">
        <v>29</v>
      </c>
      <c r="B85" s="2" t="s">
        <v>16</v>
      </c>
      <c r="C85" s="2" t="s">
        <v>90</v>
      </c>
      <c r="D85" s="2" t="s">
        <v>90</v>
      </c>
      <c r="E85" s="2" t="s">
        <v>90</v>
      </c>
      <c r="F85" s="2" t="s">
        <v>15</v>
      </c>
      <c r="G85" s="2" t="s">
        <v>90</v>
      </c>
      <c r="H85" s="2" t="s">
        <v>90</v>
      </c>
      <c r="I85" s="2" t="s">
        <v>89</v>
      </c>
      <c r="J85" s="2" t="s">
        <v>90</v>
      </c>
      <c r="K85" s="2" t="s">
        <v>90</v>
      </c>
      <c r="L85" s="2" t="s">
        <v>90</v>
      </c>
      <c r="M85" s="2" t="s">
        <v>90</v>
      </c>
      <c r="N85" s="2" t="s">
        <v>90</v>
      </c>
      <c r="O85" s="2" t="s">
        <v>90</v>
      </c>
      <c r="P85" s="2" t="s">
        <v>90</v>
      </c>
      <c r="Q85" s="2" t="s">
        <v>90</v>
      </c>
      <c r="R85" s="2" t="s">
        <v>17</v>
      </c>
      <c r="S85" s="2" t="s">
        <v>90</v>
      </c>
      <c r="T85" s="2" t="str">
        <f t="shared" si="1"/>
        <v>Baloncesto</v>
      </c>
    </row>
    <row r="86" ht="12.75" customHeight="1">
      <c r="A86" s="2" t="s">
        <v>122</v>
      </c>
      <c r="B86" s="2" t="s">
        <v>16</v>
      </c>
      <c r="C86" s="2" t="s">
        <v>90</v>
      </c>
      <c r="D86" s="2" t="s">
        <v>89</v>
      </c>
      <c r="E86" s="2" t="s">
        <v>90</v>
      </c>
      <c r="F86" s="2" t="s">
        <v>15</v>
      </c>
      <c r="G86" s="2" t="s">
        <v>90</v>
      </c>
      <c r="H86" s="2" t="s">
        <v>90</v>
      </c>
      <c r="I86" s="2" t="s">
        <v>90</v>
      </c>
      <c r="J86" s="2" t="s">
        <v>89</v>
      </c>
      <c r="K86" s="2" t="s">
        <v>90</v>
      </c>
      <c r="L86" s="2" t="s">
        <v>90</v>
      </c>
      <c r="M86" s="2" t="s">
        <v>90</v>
      </c>
      <c r="N86" s="2" t="s">
        <v>90</v>
      </c>
      <c r="O86" s="2" t="s">
        <v>90</v>
      </c>
      <c r="P86" s="2" t="s">
        <v>90</v>
      </c>
      <c r="Q86" s="2" t="s">
        <v>90</v>
      </c>
      <c r="R86" s="2" t="s">
        <v>17</v>
      </c>
      <c r="S86" s="2" t="s">
        <v>90</v>
      </c>
      <c r="T86" s="2" t="str">
        <f t="shared" si="1"/>
        <v>Fresbee</v>
      </c>
    </row>
    <row r="87" ht="12.75" customHeight="1">
      <c r="A87" s="2" t="s">
        <v>33</v>
      </c>
      <c r="B87" s="2" t="s">
        <v>16</v>
      </c>
      <c r="C87" s="2" t="s">
        <v>90</v>
      </c>
      <c r="D87" s="2" t="s">
        <v>89</v>
      </c>
      <c r="E87" s="2" t="s">
        <v>90</v>
      </c>
      <c r="F87" s="2" t="s">
        <v>17</v>
      </c>
      <c r="G87" s="2" t="s">
        <v>90</v>
      </c>
      <c r="H87" s="2" t="s">
        <v>89</v>
      </c>
      <c r="I87" s="2" t="s">
        <v>89</v>
      </c>
      <c r="J87" s="2" t="s">
        <v>90</v>
      </c>
      <c r="K87" s="2" t="s">
        <v>90</v>
      </c>
      <c r="L87" s="2" t="s">
        <v>90</v>
      </c>
      <c r="M87" s="2" t="s">
        <v>90</v>
      </c>
      <c r="N87" s="2" t="s">
        <v>90</v>
      </c>
      <c r="O87" s="2" t="s">
        <v>90</v>
      </c>
      <c r="P87" s="2" t="s">
        <v>90</v>
      </c>
      <c r="Q87" s="2" t="s">
        <v>90</v>
      </c>
      <c r="R87" s="2" t="s">
        <v>15</v>
      </c>
      <c r="S87" s="2" t="s">
        <v>90</v>
      </c>
      <c r="T87" s="2" t="str">
        <f t="shared" si="1"/>
        <v>Burro</v>
      </c>
    </row>
    <row r="88" ht="12.75" customHeight="1">
      <c r="A88" s="2" t="s">
        <v>377</v>
      </c>
      <c r="B88" s="2" t="s">
        <v>16</v>
      </c>
      <c r="C88" s="2" t="s">
        <v>90</v>
      </c>
      <c r="D88" s="2" t="s">
        <v>16</v>
      </c>
      <c r="E88" s="2" t="s">
        <v>90</v>
      </c>
      <c r="F88" s="2" t="s">
        <v>89</v>
      </c>
      <c r="G88" s="2" t="s">
        <v>16</v>
      </c>
      <c r="H88" s="2" t="s">
        <v>89</v>
      </c>
      <c r="I88" s="2" t="s">
        <v>89</v>
      </c>
      <c r="J88" s="2" t="s">
        <v>89</v>
      </c>
      <c r="K88" s="2" t="s">
        <v>90</v>
      </c>
      <c r="L88" s="2" t="s">
        <v>90</v>
      </c>
      <c r="M88" s="2" t="s">
        <v>90</v>
      </c>
      <c r="N88" s="2" t="s">
        <v>90</v>
      </c>
      <c r="O88" s="2" t="s">
        <v>90</v>
      </c>
      <c r="P88" s="2" t="s">
        <v>90</v>
      </c>
      <c r="Q88" s="2" t="s">
        <v>90</v>
      </c>
      <c r="R88" s="2" t="s">
        <v>89</v>
      </c>
      <c r="S88" s="2" t="s">
        <v>90</v>
      </c>
      <c r="T88" s="2" t="str">
        <f t="shared" si="1"/>
        <v>Pueblo</v>
      </c>
    </row>
    <row r="89" ht="12.75" customHeight="1">
      <c r="A89" s="2" t="s">
        <v>445</v>
      </c>
      <c r="B89" s="2" t="s">
        <v>90</v>
      </c>
      <c r="C89" s="2" t="s">
        <v>90</v>
      </c>
      <c r="D89" s="2" t="s">
        <v>15</v>
      </c>
      <c r="E89" s="2" t="s">
        <v>90</v>
      </c>
      <c r="F89" s="2" t="s">
        <v>16</v>
      </c>
      <c r="G89" s="2" t="s">
        <v>90</v>
      </c>
      <c r="H89" s="2" t="s">
        <v>90</v>
      </c>
      <c r="I89" s="2" t="s">
        <v>90</v>
      </c>
      <c r="J89" s="2" t="s">
        <v>89</v>
      </c>
      <c r="K89" s="2" t="s">
        <v>90</v>
      </c>
      <c r="L89" s="2" t="s">
        <v>90</v>
      </c>
      <c r="M89" s="2" t="s">
        <v>90</v>
      </c>
      <c r="N89" s="2" t="s">
        <v>90</v>
      </c>
      <c r="O89" s="2" t="s">
        <v>90</v>
      </c>
      <c r="P89" s="2" t="s">
        <v>90</v>
      </c>
      <c r="Q89" s="2" t="s">
        <v>90</v>
      </c>
      <c r="R89" s="2" t="s">
        <v>16</v>
      </c>
      <c r="S89" s="2" t="s">
        <v>90</v>
      </c>
      <c r="T89" s="2" t="str">
        <f t="shared" si="1"/>
        <v>Mario Kart Switch</v>
      </c>
    </row>
    <row r="90" ht="12.75" customHeight="1">
      <c r="A90" s="2" t="s">
        <v>446</v>
      </c>
      <c r="B90" s="2" t="s">
        <v>89</v>
      </c>
      <c r="C90" s="2" t="s">
        <v>89</v>
      </c>
      <c r="D90" s="2" t="s">
        <v>89</v>
      </c>
      <c r="E90" s="2" t="s">
        <v>90</v>
      </c>
      <c r="F90" s="2" t="s">
        <v>89</v>
      </c>
      <c r="G90" s="2" t="s">
        <v>90</v>
      </c>
      <c r="H90" s="2" t="s">
        <v>16</v>
      </c>
      <c r="I90" s="2" t="s">
        <v>89</v>
      </c>
      <c r="J90" s="2" t="s">
        <v>89</v>
      </c>
      <c r="K90" s="2" t="s">
        <v>90</v>
      </c>
      <c r="L90" s="2" t="s">
        <v>90</v>
      </c>
      <c r="M90" s="2" t="s">
        <v>90</v>
      </c>
      <c r="N90" s="2" t="s">
        <v>90</v>
      </c>
      <c r="O90" s="2" t="s">
        <v>89</v>
      </c>
      <c r="P90" s="2" t="s">
        <v>90</v>
      </c>
      <c r="Q90" s="2" t="s">
        <v>90</v>
      </c>
      <c r="R90" s="2" t="s">
        <v>89</v>
      </c>
      <c r="S90" s="2" t="s">
        <v>90</v>
      </c>
      <c r="T90" s="2" t="str">
        <f t="shared" si="1"/>
        <v>Epicida</v>
      </c>
    </row>
    <row r="91" ht="12.75" customHeight="1">
      <c r="A91" s="2" t="s">
        <v>415</v>
      </c>
      <c r="B91" s="2" t="s">
        <v>16</v>
      </c>
      <c r="C91" s="2" t="s">
        <v>90</v>
      </c>
      <c r="D91" s="2" t="s">
        <v>17</v>
      </c>
      <c r="E91" s="2" t="s">
        <v>90</v>
      </c>
      <c r="F91" s="2" t="s">
        <v>15</v>
      </c>
      <c r="G91" s="2" t="s">
        <v>90</v>
      </c>
      <c r="H91" s="2" t="s">
        <v>89</v>
      </c>
      <c r="I91" s="2" t="s">
        <v>89</v>
      </c>
      <c r="J91" s="2" t="s">
        <v>89</v>
      </c>
      <c r="K91" s="2" t="s">
        <v>90</v>
      </c>
      <c r="L91" s="2" t="s">
        <v>90</v>
      </c>
      <c r="M91" s="2" t="s">
        <v>90</v>
      </c>
      <c r="N91" s="2" t="s">
        <v>90</v>
      </c>
      <c r="O91" s="2" t="s">
        <v>90</v>
      </c>
      <c r="P91" s="2" t="s">
        <v>90</v>
      </c>
      <c r="Q91" s="2" t="s">
        <v>90</v>
      </c>
      <c r="R91" s="2" t="s">
        <v>90</v>
      </c>
      <c r="S91" s="2" t="s">
        <v>90</v>
      </c>
      <c r="T91" s="2" t="str">
        <f t="shared" si="1"/>
        <v>Carcassonne</v>
      </c>
    </row>
    <row r="92" ht="12.75" customHeight="1">
      <c r="A92" s="2" t="s">
        <v>447</v>
      </c>
      <c r="B92" s="2" t="s">
        <v>17</v>
      </c>
      <c r="C92" s="2" t="s">
        <v>90</v>
      </c>
      <c r="D92" s="2" t="s">
        <v>16</v>
      </c>
      <c r="E92" s="2" t="s">
        <v>90</v>
      </c>
      <c r="F92" s="2" t="s">
        <v>15</v>
      </c>
      <c r="G92" s="2" t="s">
        <v>90</v>
      </c>
      <c r="H92" s="2" t="s">
        <v>90</v>
      </c>
      <c r="I92" s="2" t="s">
        <v>90</v>
      </c>
      <c r="J92" s="2" t="s">
        <v>15</v>
      </c>
      <c r="K92" s="2" t="s">
        <v>90</v>
      </c>
      <c r="L92" s="2" t="s">
        <v>90</v>
      </c>
      <c r="M92" s="2" t="s">
        <v>90</v>
      </c>
      <c r="N92" s="2" t="s">
        <v>90</v>
      </c>
      <c r="O92" s="2" t="s">
        <v>17</v>
      </c>
      <c r="P92" s="2" t="s">
        <v>90</v>
      </c>
      <c r="Q92" s="2" t="s">
        <v>90</v>
      </c>
      <c r="R92" s="2" t="s">
        <v>16</v>
      </c>
      <c r="S92" s="2" t="s">
        <v>90</v>
      </c>
      <c r="T92" s="2" t="str">
        <f t="shared" si="1"/>
        <v>Lanzar pelota</v>
      </c>
    </row>
    <row r="93" ht="12.75" customHeight="1">
      <c r="A93" s="2" t="s">
        <v>92</v>
      </c>
      <c r="B93" s="2" t="s">
        <v>90</v>
      </c>
      <c r="C93" s="2" t="s">
        <v>90</v>
      </c>
      <c r="D93" s="2" t="s">
        <v>15</v>
      </c>
      <c r="E93" s="2" t="s">
        <v>90</v>
      </c>
      <c r="F93" s="2" t="s">
        <v>90</v>
      </c>
      <c r="G93" s="2" t="s">
        <v>90</v>
      </c>
      <c r="H93" s="2" t="s">
        <v>17</v>
      </c>
      <c r="I93" s="2" t="s">
        <v>90</v>
      </c>
      <c r="J93" s="2" t="s">
        <v>90</v>
      </c>
      <c r="K93" s="2" t="s">
        <v>90</v>
      </c>
      <c r="L93" s="2" t="s">
        <v>90</v>
      </c>
      <c r="M93" s="2" t="s">
        <v>90</v>
      </c>
      <c r="N93" s="2" t="s">
        <v>90</v>
      </c>
      <c r="O93" s="2" t="s">
        <v>90</v>
      </c>
      <c r="P93" s="2" t="s">
        <v>90</v>
      </c>
      <c r="Q93" s="2" t="s">
        <v>90</v>
      </c>
      <c r="R93" s="2" t="s">
        <v>16</v>
      </c>
      <c r="S93" s="2" t="s">
        <v>90</v>
      </c>
      <c r="T93" s="2" t="str">
        <f t="shared" si="1"/>
        <v>Mario Kart</v>
      </c>
    </row>
    <row r="94" ht="12.75" customHeight="1"/>
    <row r="95" ht="12.75" hidden="1" customHeight="1"/>
    <row r="96" ht="12.75" hidden="1" customHeight="1"/>
    <row r="97" ht="12.75" hidden="1" customHeight="1"/>
    <row r="98" ht="12.75" hidden="1" customHeight="1"/>
    <row r="99" ht="12.75" customHeight="1"/>
    <row r="100" ht="12.75" customHeight="1">
      <c r="A100" s="2" t="s">
        <v>89</v>
      </c>
      <c r="B100" s="3">
        <f t="array" ref="B100">SUM(IF(B2:B99="v",1))</f>
        <v>21</v>
      </c>
      <c r="C100" s="3">
        <f t="array" ref="C100">SUM(IF(C2:C99="v",1))</f>
        <v>1</v>
      </c>
      <c r="D100" s="3">
        <f t="array" ref="D100">SUM(IF(D2:D99="v",1))</f>
        <v>18</v>
      </c>
      <c r="E100" s="3">
        <f t="array" ref="E100">SUM(IF(E2:E99="v",1))</f>
        <v>2</v>
      </c>
      <c r="F100" s="3">
        <f t="array" ref="F100">SUM(IF(F2:F99="v",1))</f>
        <v>16</v>
      </c>
      <c r="G100" s="3">
        <f t="array" ref="G100">SUM(IF(G2:G99="v",1))</f>
        <v>4</v>
      </c>
      <c r="H100" s="3">
        <f t="array" ref="H100">SUM(IF(H2:H99="v",1))</f>
        <v>34</v>
      </c>
      <c r="I100" s="3">
        <f t="array" ref="I100">SUM(IF(I2:I99="v",1))</f>
        <v>27</v>
      </c>
      <c r="J100" s="3">
        <f t="array" ref="J100">SUM(IF(J2:J99="v",1))</f>
        <v>36</v>
      </c>
      <c r="K100" s="3">
        <f t="array" ref="K100">SUM(IF(K2:K99="v",1))</f>
        <v>8</v>
      </c>
      <c r="L100" s="3">
        <f t="array" ref="L100">SUM(IF(L2:L99="v",1))</f>
        <v>0</v>
      </c>
      <c r="M100" s="3">
        <f t="array" ref="M100">SUM(IF(M2:M99="v",1))</f>
        <v>0</v>
      </c>
      <c r="N100" s="3">
        <f t="array" ref="N100">SUM(IF(N2:N99="v",1))</f>
        <v>0</v>
      </c>
      <c r="O100" s="3">
        <f t="array" ref="O100">SUM(IF(O2:O99="v",1))</f>
        <v>3</v>
      </c>
      <c r="P100" s="3">
        <f t="array" ref="P100">SUM(IF(P2:P99="v",1))</f>
        <v>0</v>
      </c>
      <c r="Q100" s="3">
        <f t="array" ref="Q100">SUM(IF(Q2:Q99="v",1))</f>
        <v>0</v>
      </c>
      <c r="R100" s="3">
        <f t="array" ref="R100">SUM(IF(R2:R99="v",1))</f>
        <v>8</v>
      </c>
      <c r="S100" s="3">
        <f t="array" ref="S100">SUM(IF(S2:S99="v",1))</f>
        <v>1</v>
      </c>
      <c r="T100" s="2" t="s">
        <v>89</v>
      </c>
    </row>
    <row r="101" ht="12.75" customHeight="1">
      <c r="A101" s="2" t="s">
        <v>90</v>
      </c>
      <c r="B101" s="3">
        <f t="array" ref="B101">SUM(IF(B2:B99="x",1))</f>
        <v>20</v>
      </c>
      <c r="C101" s="3">
        <f t="array" ref="C101">SUM(IF(C2:C99="x",1))</f>
        <v>91</v>
      </c>
      <c r="D101" s="3">
        <f t="array" ref="D101">SUM(IF(D2:D99="x",1))</f>
        <v>57</v>
      </c>
      <c r="E101" s="3">
        <f t="array" ref="E101">SUM(IF(E2:E99="x",1))</f>
        <v>90</v>
      </c>
      <c r="F101" s="3">
        <f t="array" ref="F101">SUM(IF(F2:F99="x",1))</f>
        <v>2</v>
      </c>
      <c r="G101" s="3">
        <f t="array" ref="G101">SUM(IF(G2:G99="x",1))</f>
        <v>80</v>
      </c>
      <c r="H101" s="3">
        <f t="array" ref="H101">SUM(IF(H2:H99="x",1))</f>
        <v>19</v>
      </c>
      <c r="I101" s="3">
        <f t="array" ref="I101">SUM(IF(I2:I99="x",1))</f>
        <v>38</v>
      </c>
      <c r="J101" s="3">
        <f t="array" ref="J101">SUM(IF(J2:J99="x",1))</f>
        <v>22</v>
      </c>
      <c r="K101" s="3">
        <f t="array" ref="K101">SUM(IF(K2:K99="x",1))</f>
        <v>72</v>
      </c>
      <c r="L101" s="3">
        <f t="array" ref="L101">SUM(IF(L2:L99="x",1))</f>
        <v>91</v>
      </c>
      <c r="M101" s="3">
        <f t="array" ref="M101">SUM(IF(M2:M99="x",1))</f>
        <v>92</v>
      </c>
      <c r="N101" s="3">
        <f t="array" ref="N101">SUM(IF(N2:N99="x",1))</f>
        <v>92</v>
      </c>
      <c r="O101" s="3">
        <f t="array" ref="O101">SUM(IF(O2:O99="x",1))</f>
        <v>80</v>
      </c>
      <c r="P101" s="3">
        <f t="array" ref="P101">SUM(IF(P2:P99="x",1))</f>
        <v>92</v>
      </c>
      <c r="Q101" s="3">
        <f t="array" ref="Q101">SUM(IF(Q2:Q99="x",1))</f>
        <v>92</v>
      </c>
      <c r="R101" s="3">
        <f t="array" ref="R101">SUM(IF(R2:R99="x",1))</f>
        <v>52</v>
      </c>
      <c r="S101" s="3">
        <f t="array" ref="S101">SUM(IF(S2:S99="x",1))</f>
        <v>91</v>
      </c>
      <c r="T101" s="2" t="s">
        <v>90</v>
      </c>
    </row>
    <row r="102" ht="12.75" customHeight="1">
      <c r="A102" s="2" t="s">
        <v>128</v>
      </c>
      <c r="B102" s="3">
        <f t="shared" ref="B102:S102" si="2">B100+B103+B104+B105</f>
        <v>72</v>
      </c>
      <c r="C102" s="3">
        <f t="shared" si="2"/>
        <v>1</v>
      </c>
      <c r="D102" s="3">
        <f t="shared" si="2"/>
        <v>35</v>
      </c>
      <c r="E102" s="3">
        <f t="shared" si="2"/>
        <v>2</v>
      </c>
      <c r="F102" s="3">
        <f t="shared" si="2"/>
        <v>90</v>
      </c>
      <c r="G102" s="3">
        <f t="shared" si="2"/>
        <v>12</v>
      </c>
      <c r="H102" s="3">
        <f t="shared" si="2"/>
        <v>73</v>
      </c>
      <c r="I102" s="3">
        <f t="shared" si="2"/>
        <v>54</v>
      </c>
      <c r="J102" s="3">
        <f t="shared" si="2"/>
        <v>70</v>
      </c>
      <c r="K102" s="3">
        <f t="shared" si="2"/>
        <v>20</v>
      </c>
      <c r="L102" s="3">
        <f t="shared" si="2"/>
        <v>1</v>
      </c>
      <c r="M102" s="3">
        <f t="shared" si="2"/>
        <v>0</v>
      </c>
      <c r="N102" s="3">
        <f t="shared" si="2"/>
        <v>0</v>
      </c>
      <c r="O102" s="3">
        <f t="shared" si="2"/>
        <v>12</v>
      </c>
      <c r="P102" s="3">
        <f t="shared" si="2"/>
        <v>0</v>
      </c>
      <c r="Q102" s="3">
        <f t="shared" si="2"/>
        <v>0</v>
      </c>
      <c r="R102" s="3">
        <f t="shared" si="2"/>
        <v>40</v>
      </c>
      <c r="S102" s="3">
        <f t="shared" si="2"/>
        <v>1</v>
      </c>
      <c r="T102" s="2" t="s">
        <v>128</v>
      </c>
    </row>
    <row r="103" ht="12.75" customHeight="1">
      <c r="A103" s="2" t="s">
        <v>17</v>
      </c>
      <c r="B103" s="3">
        <f t="array" ref="B103">SUM(IF(B$2:B$99=$A103,1))</f>
        <v>9</v>
      </c>
      <c r="C103" s="3">
        <f t="array" ref="C103">SUM(IF(C$2:C$99=$A103,1))</f>
        <v>0</v>
      </c>
      <c r="D103" s="3">
        <f t="array" ref="D103">SUM(IF(D$2:D$99=$A103,1))</f>
        <v>4</v>
      </c>
      <c r="E103" s="3">
        <f t="array" ref="E103">SUM(IF(E$2:E$99=$A103,1))</f>
        <v>0</v>
      </c>
      <c r="F103" s="3">
        <f t="array" ref="F103">SUM(IF(F$2:F$99=$A103,1))</f>
        <v>14</v>
      </c>
      <c r="G103" s="3">
        <f t="array" ref="G103">SUM(IF(G$2:G$99=$A103,1))</f>
        <v>1</v>
      </c>
      <c r="H103" s="3">
        <f t="array" ref="H103">SUM(IF(H$2:H$99=$A103,1))</f>
        <v>15</v>
      </c>
      <c r="I103" s="3">
        <f t="array" ref="I103">SUM(IF(I$2:I$99=$A103,1))</f>
        <v>5</v>
      </c>
      <c r="J103" s="3">
        <f t="array" ref="J103">SUM(IF(J$2:J$99=$A103,1))</f>
        <v>11</v>
      </c>
      <c r="K103" s="3">
        <f t="array" ref="K103">SUM(IF(K$2:K$99=$A103,1))</f>
        <v>2</v>
      </c>
      <c r="L103" s="3">
        <f t="array" ref="L103">SUM(IF(L$2:L$99=$A103,1))</f>
        <v>0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5</v>
      </c>
      <c r="P103" s="3">
        <f t="array" ref="P103">SUM(IF(P$2:P$99=$A103,1))</f>
        <v>0</v>
      </c>
      <c r="Q103" s="3">
        <f t="array" ref="Q103">SUM(IF(Q$2:Q$99=$A103,1))</f>
        <v>0</v>
      </c>
      <c r="R103" s="3">
        <f t="array" ref="R103">SUM(IF(R$2:R$99=$A103,1))</f>
        <v>7</v>
      </c>
      <c r="S103" s="3">
        <f t="array" ref="S103">SUM(IF(S$2:S$99=$A103,1))</f>
        <v>0</v>
      </c>
      <c r="T103" s="2" t="s">
        <v>17</v>
      </c>
    </row>
    <row r="104" ht="12.75" customHeight="1">
      <c r="A104" s="2" t="s">
        <v>15</v>
      </c>
      <c r="B104" s="3">
        <f t="array" ref="B104">SUM(IF(B$2:B$99=$A104,1))</f>
        <v>15</v>
      </c>
      <c r="C104" s="3">
        <f t="array" ref="C104">SUM(IF(C$2:C$99=$A104,1))</f>
        <v>0</v>
      </c>
      <c r="D104" s="3">
        <f t="array" ref="D104">SUM(IF(D$2:D$99=$A104,1))</f>
        <v>7</v>
      </c>
      <c r="E104" s="3">
        <f t="array" ref="E104">SUM(IF(E$2:E$99=$A104,1))</f>
        <v>0</v>
      </c>
      <c r="F104" s="3">
        <f t="array" ref="F104">SUM(IF(F$2:F$99=$A104,1))</f>
        <v>24</v>
      </c>
      <c r="G104" s="3">
        <f t="array" ref="G104">SUM(IF(G$2:G$99=$A104,1))</f>
        <v>6</v>
      </c>
      <c r="H104" s="3">
        <f t="array" ref="H104">SUM(IF(H$2:H$99=$A104,1))</f>
        <v>16</v>
      </c>
      <c r="I104" s="3">
        <f t="array" ref="I104">SUM(IF(I$2:I$99=$A104,1))</f>
        <v>11</v>
      </c>
      <c r="J104" s="3">
        <f t="array" ref="J104">SUM(IF(J$2:J$99=$A104,1))</f>
        <v>10</v>
      </c>
      <c r="K104" s="3">
        <f t="array" ref="K104">SUM(IF(K$2:K$99=$A104,1))</f>
        <v>2</v>
      </c>
      <c r="L104" s="3">
        <f t="array" ref="L104">SUM(IF(L$2:L$99=$A104,1))</f>
        <v>0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2</v>
      </c>
      <c r="P104" s="3">
        <f t="array" ref="P104">SUM(IF(P$2:P$99=$A104,1))</f>
        <v>0</v>
      </c>
      <c r="Q104" s="3">
        <f t="array" ref="Q104">SUM(IF(Q$2:Q$99=$A104,1))</f>
        <v>0</v>
      </c>
      <c r="R104" s="3">
        <f t="array" ref="R104">SUM(IF(R$2:R$99=$A104,1))</f>
        <v>10</v>
      </c>
      <c r="S104" s="3">
        <f t="array" ref="S104">SUM(IF(S$2:S$99=$A104,1))</f>
        <v>0</v>
      </c>
      <c r="T104" s="2" t="s">
        <v>15</v>
      </c>
    </row>
    <row r="105" ht="12.75" customHeight="1">
      <c r="A105" s="2" t="s">
        <v>16</v>
      </c>
      <c r="B105" s="3">
        <f t="array" ref="B105">SUM(IF(B$2:B$99=$A105,1))</f>
        <v>27</v>
      </c>
      <c r="C105" s="3">
        <f t="array" ref="C105">SUM(IF(C$2:C$99=$A105,1))</f>
        <v>0</v>
      </c>
      <c r="D105" s="3">
        <f t="array" ref="D105">SUM(IF(D$2:D$99=$A105,1))</f>
        <v>6</v>
      </c>
      <c r="E105" s="3">
        <f t="array" ref="E105">SUM(IF(E$2:E$99=$A105,1))</f>
        <v>0</v>
      </c>
      <c r="F105" s="3">
        <f t="array" ref="F105">SUM(IF(F$2:F$99=$A105,1))</f>
        <v>36</v>
      </c>
      <c r="G105" s="3">
        <f t="array" ref="G105">SUM(IF(G$2:G$99=$A105,1))</f>
        <v>1</v>
      </c>
      <c r="H105" s="3">
        <f t="array" ref="H105">SUM(IF(H$2:H$99=$A105,1))</f>
        <v>8</v>
      </c>
      <c r="I105" s="3">
        <f t="array" ref="I105">SUM(IF(I$2:I$99=$A105,1))</f>
        <v>11</v>
      </c>
      <c r="J105" s="3">
        <f t="array" ref="J105">SUM(IF(J$2:J$99=$A105,1))</f>
        <v>13</v>
      </c>
      <c r="K105" s="3">
        <f t="array" ref="K105">SUM(IF(K$2:K$99=$A105,1))</f>
        <v>8</v>
      </c>
      <c r="L105" s="3">
        <f t="array" ref="L105">SUM(IF(L$2:L$99=$A105,1))</f>
        <v>1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2</v>
      </c>
      <c r="P105" s="3">
        <f t="array" ref="P105">SUM(IF(P$2:P$99=$A105,1))</f>
        <v>0</v>
      </c>
      <c r="Q105" s="3">
        <f t="array" ref="Q105">SUM(IF(Q$2:Q$99=$A105,1))</f>
        <v>0</v>
      </c>
      <c r="R105" s="3">
        <f t="array" ref="R105">SUM(IF(R$2:R$99=$A105,1))</f>
        <v>15</v>
      </c>
      <c r="S105" s="3">
        <f t="array" ref="S105">SUM(IF(S$2:S$99=$A105,1))</f>
        <v>0</v>
      </c>
      <c r="T105" s="2" t="s">
        <v>16</v>
      </c>
    </row>
    <row r="106" ht="12.75" customHeight="1">
      <c r="A106" s="4" t="s">
        <v>129</v>
      </c>
      <c r="B106" s="4">
        <f t="shared" ref="B106:S106" si="3">B103+B104*2+B105*3</f>
        <v>120</v>
      </c>
      <c r="C106" s="4">
        <f t="shared" si="3"/>
        <v>0</v>
      </c>
      <c r="D106" s="4">
        <f t="shared" si="3"/>
        <v>36</v>
      </c>
      <c r="E106" s="4">
        <f t="shared" si="3"/>
        <v>0</v>
      </c>
      <c r="F106" s="4">
        <f t="shared" si="3"/>
        <v>170</v>
      </c>
      <c r="G106" s="4">
        <f t="shared" si="3"/>
        <v>16</v>
      </c>
      <c r="H106" s="4">
        <f t="shared" si="3"/>
        <v>71</v>
      </c>
      <c r="I106" s="4">
        <f t="shared" si="3"/>
        <v>60</v>
      </c>
      <c r="J106" s="4">
        <f t="shared" si="3"/>
        <v>70</v>
      </c>
      <c r="K106" s="4">
        <f t="shared" si="3"/>
        <v>30</v>
      </c>
      <c r="L106" s="4">
        <f t="shared" si="3"/>
        <v>3</v>
      </c>
      <c r="M106" s="4">
        <f t="shared" si="3"/>
        <v>0</v>
      </c>
      <c r="N106" s="4">
        <f t="shared" si="3"/>
        <v>0</v>
      </c>
      <c r="O106" s="4">
        <f t="shared" si="3"/>
        <v>15</v>
      </c>
      <c r="P106" s="4">
        <f t="shared" si="3"/>
        <v>0</v>
      </c>
      <c r="Q106" s="4">
        <f t="shared" si="3"/>
        <v>0</v>
      </c>
      <c r="R106" s="4">
        <f t="shared" si="3"/>
        <v>72</v>
      </c>
      <c r="S106" s="4">
        <f t="shared" si="3"/>
        <v>0</v>
      </c>
      <c r="T106" s="4" t="s">
        <v>129</v>
      </c>
    </row>
    <row r="107" ht="12.75" customHeight="1">
      <c r="A107" s="2" t="s">
        <v>130</v>
      </c>
      <c r="B107" s="11">
        <f t="shared" ref="B107:S107" si="4">IF(B100+B103+B104+B105&lt;&gt;0,B106/(B100+B103+B104+B105),0)</f>
        <v>1.666666667</v>
      </c>
      <c r="C107" s="11">
        <f t="shared" si="4"/>
        <v>0</v>
      </c>
      <c r="D107" s="11">
        <f t="shared" si="4"/>
        <v>1.028571429</v>
      </c>
      <c r="E107" s="11">
        <f t="shared" si="4"/>
        <v>0</v>
      </c>
      <c r="F107" s="11">
        <f t="shared" si="4"/>
        <v>1.888888889</v>
      </c>
      <c r="G107" s="11">
        <f t="shared" si="4"/>
        <v>1.333333333</v>
      </c>
      <c r="H107" s="11">
        <f t="shared" si="4"/>
        <v>0.9726027397</v>
      </c>
      <c r="I107" s="11">
        <f t="shared" si="4"/>
        <v>1.111111111</v>
      </c>
      <c r="J107" s="11">
        <f t="shared" si="4"/>
        <v>1</v>
      </c>
      <c r="K107" s="11">
        <f t="shared" si="4"/>
        <v>1.5</v>
      </c>
      <c r="L107" s="11">
        <f t="shared" si="4"/>
        <v>3</v>
      </c>
      <c r="M107" s="11">
        <f t="shared" si="4"/>
        <v>0</v>
      </c>
      <c r="N107" s="11">
        <f t="shared" si="4"/>
        <v>0</v>
      </c>
      <c r="O107" s="11">
        <f t="shared" si="4"/>
        <v>1.25</v>
      </c>
      <c r="P107" s="11">
        <f t="shared" si="4"/>
        <v>0</v>
      </c>
      <c r="Q107" s="11">
        <f t="shared" si="4"/>
        <v>0</v>
      </c>
      <c r="R107" s="11">
        <f t="shared" si="4"/>
        <v>1.8</v>
      </c>
      <c r="S107" s="11">
        <f t="shared" si="4"/>
        <v>0</v>
      </c>
      <c r="T107" s="2" t="s">
        <v>130</v>
      </c>
    </row>
    <row r="108" ht="12.75" customHeight="1">
      <c r="A108" s="2" t="s">
        <v>363</v>
      </c>
      <c r="B108" s="2">
        <f t="shared" ref="B108:S108" si="5">B105+B104+B103</f>
        <v>51</v>
      </c>
      <c r="C108" s="2">
        <f t="shared" si="5"/>
        <v>0</v>
      </c>
      <c r="D108" s="2">
        <f t="shared" si="5"/>
        <v>17</v>
      </c>
      <c r="E108" s="2">
        <f t="shared" si="5"/>
        <v>0</v>
      </c>
      <c r="F108" s="2">
        <f t="shared" si="5"/>
        <v>74</v>
      </c>
      <c r="G108" s="2">
        <f t="shared" si="5"/>
        <v>8</v>
      </c>
      <c r="H108" s="2">
        <f t="shared" si="5"/>
        <v>39</v>
      </c>
      <c r="I108" s="2">
        <f t="shared" si="5"/>
        <v>27</v>
      </c>
      <c r="J108" s="2">
        <f t="shared" si="5"/>
        <v>34</v>
      </c>
      <c r="K108" s="2">
        <f t="shared" si="5"/>
        <v>12</v>
      </c>
      <c r="L108" s="2">
        <f t="shared" si="5"/>
        <v>1</v>
      </c>
      <c r="M108" s="2">
        <f t="shared" si="5"/>
        <v>0</v>
      </c>
      <c r="N108" s="2">
        <f t="shared" si="5"/>
        <v>0</v>
      </c>
      <c r="O108" s="2">
        <f t="shared" si="5"/>
        <v>9</v>
      </c>
      <c r="P108" s="2">
        <f t="shared" si="5"/>
        <v>0</v>
      </c>
      <c r="Q108" s="2">
        <f t="shared" si="5"/>
        <v>0</v>
      </c>
      <c r="R108" s="2">
        <f t="shared" si="5"/>
        <v>32</v>
      </c>
      <c r="S108" s="2">
        <f t="shared" si="5"/>
        <v>0</v>
      </c>
      <c r="T108" s="2" t="s">
        <v>363</v>
      </c>
    </row>
    <row r="109" ht="12.75" customHeight="1">
      <c r="A109" s="2" t="s">
        <v>131</v>
      </c>
      <c r="B109" s="3">
        <f t="shared" ref="B109:S109" si="6">B102+B101</f>
        <v>92</v>
      </c>
      <c r="C109" s="3">
        <f t="shared" si="6"/>
        <v>92</v>
      </c>
      <c r="D109" s="3">
        <f t="shared" si="6"/>
        <v>92</v>
      </c>
      <c r="E109" s="3">
        <f t="shared" si="6"/>
        <v>92</v>
      </c>
      <c r="F109" s="3">
        <f t="shared" si="6"/>
        <v>92</v>
      </c>
      <c r="G109" s="3">
        <f t="shared" si="6"/>
        <v>92</v>
      </c>
      <c r="H109" s="3">
        <f t="shared" si="6"/>
        <v>92</v>
      </c>
      <c r="I109" s="3">
        <f t="shared" si="6"/>
        <v>92</v>
      </c>
      <c r="J109" s="3">
        <f t="shared" si="6"/>
        <v>92</v>
      </c>
      <c r="K109" s="3">
        <f t="shared" si="6"/>
        <v>92</v>
      </c>
      <c r="L109" s="3">
        <f t="shared" si="6"/>
        <v>92</v>
      </c>
      <c r="M109" s="3">
        <f t="shared" si="6"/>
        <v>92</v>
      </c>
      <c r="N109" s="3">
        <f t="shared" si="6"/>
        <v>92</v>
      </c>
      <c r="O109" s="3">
        <f t="shared" si="6"/>
        <v>92</v>
      </c>
      <c r="P109" s="3">
        <f t="shared" si="6"/>
        <v>92</v>
      </c>
      <c r="Q109" s="3">
        <f t="shared" si="6"/>
        <v>92</v>
      </c>
      <c r="R109" s="3">
        <f t="shared" si="6"/>
        <v>92</v>
      </c>
      <c r="S109" s="3">
        <f t="shared" si="6"/>
        <v>92</v>
      </c>
      <c r="T109" s="2" t="s">
        <v>131</v>
      </c>
    </row>
    <row r="110" ht="12.75" customHeight="1"/>
    <row r="111" ht="12.75" customHeight="1">
      <c r="A111" s="2" t="s">
        <v>132</v>
      </c>
      <c r="B111" s="3">
        <f>B106+G106+J106+I106</f>
        <v>266</v>
      </c>
      <c r="D111" s="2" t="s">
        <v>133</v>
      </c>
      <c r="E111" s="12">
        <f>B106+G106</f>
        <v>136</v>
      </c>
      <c r="G111" s="2" t="s">
        <v>134</v>
      </c>
      <c r="H111" s="3">
        <f>I106+J106</f>
        <v>130</v>
      </c>
      <c r="J111" s="2" t="s">
        <v>135</v>
      </c>
      <c r="K111" s="3">
        <f>B102+G102+I102+J102</f>
        <v>208</v>
      </c>
      <c r="M111" s="2" t="s">
        <v>136</v>
      </c>
      <c r="N111" s="11">
        <f t="shared" ref="N111:N113" si="7">B111/K111</f>
        <v>1.278846154</v>
      </c>
      <c r="T111" s="2" t="s">
        <v>132</v>
      </c>
    </row>
    <row r="112" ht="12.75" customHeight="1">
      <c r="A112" s="2" t="s">
        <v>137</v>
      </c>
      <c r="B112" s="3">
        <f>C106+E106+H106+L106+M106</f>
        <v>74</v>
      </c>
      <c r="D112" s="2" t="s">
        <v>138</v>
      </c>
      <c r="E112" s="3">
        <f>M106+L106</f>
        <v>3</v>
      </c>
      <c r="G112" s="2" t="s">
        <v>139</v>
      </c>
      <c r="H112" s="3">
        <f>C106+E106+H106</f>
        <v>71</v>
      </c>
      <c r="J112" s="2" t="s">
        <v>135</v>
      </c>
      <c r="K112" s="3">
        <f>C102+E102+H102+L102+M102</f>
        <v>77</v>
      </c>
      <c r="M112" s="2" t="s">
        <v>136</v>
      </c>
      <c r="N112" s="11">
        <f t="shared" si="7"/>
        <v>0.961038961</v>
      </c>
      <c r="T112" s="2" t="s">
        <v>137</v>
      </c>
    </row>
    <row r="113" ht="12.75" customHeight="1">
      <c r="A113" s="2" t="s">
        <v>140</v>
      </c>
      <c r="B113" s="3">
        <f>D106+F106+K106+N106</f>
        <v>236</v>
      </c>
      <c r="D113" s="2" t="s">
        <v>141</v>
      </c>
      <c r="E113" s="3">
        <f>K106+N106</f>
        <v>30</v>
      </c>
      <c r="G113" s="2" t="s">
        <v>142</v>
      </c>
      <c r="H113" s="3">
        <f>D106+F106</f>
        <v>206</v>
      </c>
      <c r="J113" s="2" t="s">
        <v>135</v>
      </c>
      <c r="K113" s="3">
        <f>D102+F102+K102+N102</f>
        <v>145</v>
      </c>
      <c r="M113" s="2" t="s">
        <v>136</v>
      </c>
      <c r="N113" s="11">
        <f t="shared" si="7"/>
        <v>1.627586207</v>
      </c>
      <c r="T113" s="2" t="s">
        <v>140</v>
      </c>
    </row>
    <row r="114" ht="12.75" customHeight="1">
      <c r="B114" s="3"/>
      <c r="E114" s="3"/>
      <c r="H114" s="3"/>
      <c r="K114" s="3"/>
      <c r="N114" s="11"/>
    </row>
    <row r="115" ht="12.75" customHeight="1">
      <c r="A115" s="20"/>
      <c r="B115" s="3" t="str">
        <f t="shared" ref="B115:S115" si="8">B1</f>
        <v>David</v>
      </c>
      <c r="C115" s="3" t="str">
        <f t="shared" si="8"/>
        <v>Carlos</v>
      </c>
      <c r="D115" s="3" t="str">
        <f t="shared" si="8"/>
        <v>Laura</v>
      </c>
      <c r="E115" s="3" t="str">
        <f t="shared" si="8"/>
        <v>Jorge</v>
      </c>
      <c r="F115" s="3" t="str">
        <f t="shared" si="8"/>
        <v>Sergio</v>
      </c>
      <c r="G115" s="3" t="str">
        <f t="shared" si="8"/>
        <v>Poli</v>
      </c>
      <c r="H115" s="3" t="str">
        <f t="shared" si="8"/>
        <v>Nuria</v>
      </c>
      <c r="I115" s="3" t="str">
        <f t="shared" si="8"/>
        <v>Sara</v>
      </c>
      <c r="J115" s="3" t="str">
        <f t="shared" si="8"/>
        <v>Dario</v>
      </c>
      <c r="K115" s="3" t="str">
        <f t="shared" si="8"/>
        <v>Pedro</v>
      </c>
      <c r="L115" s="3" t="str">
        <f t="shared" si="8"/>
        <v>Inés</v>
      </c>
      <c r="M115" s="3" t="str">
        <f t="shared" si="8"/>
        <v>Chema</v>
      </c>
      <c r="N115" s="3" t="str">
        <f t="shared" si="8"/>
        <v>Maite</v>
      </c>
      <c r="O115" s="3" t="str">
        <f t="shared" si="8"/>
        <v>Anuncia</v>
      </c>
      <c r="P115" s="3" t="str">
        <f t="shared" si="8"/>
        <v>Roberto</v>
      </c>
      <c r="Q115" s="3" t="str">
        <f t="shared" si="8"/>
        <v>Hana</v>
      </c>
      <c r="R115" s="3" t="str">
        <f t="shared" si="8"/>
        <v>Antonio</v>
      </c>
      <c r="S115" s="3" t="str">
        <f t="shared" si="8"/>
        <v>Annie (USA)</v>
      </c>
      <c r="T115" s="20"/>
    </row>
    <row r="116" ht="12.75" customHeight="1"/>
    <row r="117" ht="12.75" customHeight="1">
      <c r="A117" s="21" t="s">
        <v>143</v>
      </c>
      <c r="B117" s="21">
        <f>H111+H112+H113+S106</f>
        <v>407</v>
      </c>
      <c r="E117" s="21" t="s">
        <v>144</v>
      </c>
      <c r="F117" s="22">
        <f>E111+E112+E113</f>
        <v>169</v>
      </c>
    </row>
    <row r="118" ht="12.75" customHeight="1"/>
    <row r="119" ht="12.75" customHeight="1">
      <c r="A119" s="5" t="s">
        <v>145</v>
      </c>
      <c r="B119" s="5" t="s">
        <v>4</v>
      </c>
      <c r="T119" s="5" t="s">
        <v>145</v>
      </c>
    </row>
    <row r="120" ht="12.75" customHeight="1"/>
    <row r="121" ht="12.75" customHeight="1">
      <c r="A121" s="2" t="s">
        <v>69</v>
      </c>
      <c r="O121" s="2" t="s">
        <v>310</v>
      </c>
      <c r="T121" s="2" t="s">
        <v>69</v>
      </c>
    </row>
    <row r="122" ht="12.75" customHeight="1">
      <c r="A122" s="2" t="s">
        <v>311</v>
      </c>
      <c r="B122" s="2">
        <f>B106+'2018'!B122</f>
        <v>860.75</v>
      </c>
      <c r="C122" s="2">
        <f>C106+'2018'!C122</f>
        <v>432.5</v>
      </c>
      <c r="D122" s="2">
        <f>D106+'2018'!D122</f>
        <v>374</v>
      </c>
      <c r="E122" s="2">
        <f>E106+'2018'!E122</f>
        <v>526.25</v>
      </c>
      <c r="F122" s="2">
        <f>F106+'2018'!F122</f>
        <v>896.25</v>
      </c>
      <c r="G122" s="2">
        <f>G106+'2018'!G122</f>
        <v>249</v>
      </c>
      <c r="H122" s="2">
        <f>H106+'2018'!H122</f>
        <v>335.25</v>
      </c>
      <c r="I122" s="2">
        <f>I106+'2018'!I122</f>
        <v>407.5</v>
      </c>
      <c r="J122" s="2">
        <f>J106+'2018'!J122</f>
        <v>359</v>
      </c>
      <c r="K122" s="2">
        <f>K106+'2018'!K122</f>
        <v>186</v>
      </c>
      <c r="L122" s="2">
        <f>L106+'2018'!L122</f>
        <v>39</v>
      </c>
      <c r="M122" s="2">
        <f>M106+'2018'!M122</f>
        <v>34</v>
      </c>
      <c r="N122" s="2">
        <f>N106+'2018'!N122</f>
        <v>12</v>
      </c>
      <c r="O122" s="2">
        <f>'2018'!O122+O106+P106</f>
        <v>53.25</v>
      </c>
      <c r="P122" s="2" t="s">
        <v>376</v>
      </c>
      <c r="Q122" s="2">
        <f>Q106+'2018'!Q122</f>
        <v>23</v>
      </c>
      <c r="R122" s="2">
        <f t="shared" ref="R122:S122" si="9">R106</f>
        <v>72</v>
      </c>
      <c r="S122" s="2">
        <f t="shared" si="9"/>
        <v>0</v>
      </c>
      <c r="T122" s="2" t="s">
        <v>311</v>
      </c>
    </row>
    <row r="123" ht="12.75" customHeight="1"/>
    <row r="124" ht="12.75" customHeight="1">
      <c r="A124" s="16" t="s">
        <v>85</v>
      </c>
      <c r="B124" s="16">
        <f>'2015'!B119</f>
        <v>3</v>
      </c>
      <c r="C124" s="16">
        <f>'2015'!C119</f>
        <v>2</v>
      </c>
      <c r="D124" s="16">
        <f>'2015'!D119</f>
        <v>0</v>
      </c>
      <c r="E124" s="16">
        <f>'2015'!E119</f>
        <v>1</v>
      </c>
      <c r="F124" s="16">
        <v>6.0</v>
      </c>
      <c r="G124" s="16">
        <f>'2015'!G119</f>
        <v>0</v>
      </c>
      <c r="H124" s="16">
        <f>'2015'!H119</f>
        <v>0</v>
      </c>
      <c r="I124" s="16">
        <f>'2015'!I119</f>
        <v>0</v>
      </c>
      <c r="J124" s="16">
        <f>'2015'!J119</f>
        <v>0</v>
      </c>
      <c r="K124" s="16">
        <f>'2015'!K119</f>
        <v>0</v>
      </c>
      <c r="L124" s="16">
        <f>'2015'!L119</f>
        <v>0</v>
      </c>
      <c r="M124" s="16">
        <f>'2015'!M119</f>
        <v>0</v>
      </c>
      <c r="N124" s="16">
        <f>'2015'!N119</f>
        <v>0</v>
      </c>
      <c r="O124" s="16">
        <f>'2015'!O119</f>
        <v>0</v>
      </c>
      <c r="P124" s="2" t="s">
        <v>376</v>
      </c>
      <c r="Q124" s="3">
        <v>0.0</v>
      </c>
      <c r="R124" s="3">
        <v>0.0</v>
      </c>
      <c r="S124" s="3">
        <v>0.0</v>
      </c>
      <c r="T124" s="16" t="s">
        <v>85</v>
      </c>
    </row>
    <row r="125" ht="12.75" customHeight="1"/>
    <row r="126" ht="12.75" customHeight="1">
      <c r="A126" s="3" t="s">
        <v>365</v>
      </c>
      <c r="C126" s="3">
        <f>'2018'!C126+B109</f>
        <v>620</v>
      </c>
    </row>
    <row r="127" ht="12.75" customHeight="1"/>
    <row r="128" ht="12.75" customHeight="1">
      <c r="A128" s="24">
        <f t="shared" ref="A128:S128" si="10">A1</f>
        <v>2019</v>
      </c>
      <c r="B128" s="3" t="str">
        <f t="shared" si="10"/>
        <v>David</v>
      </c>
      <c r="C128" s="3" t="str">
        <f t="shared" si="10"/>
        <v>Carlos</v>
      </c>
      <c r="D128" s="3" t="str">
        <f t="shared" si="10"/>
        <v>Laura</v>
      </c>
      <c r="E128" s="3" t="str">
        <f t="shared" si="10"/>
        <v>Jorge</v>
      </c>
      <c r="F128" s="3" t="str">
        <f t="shared" si="10"/>
        <v>Sergio</v>
      </c>
      <c r="G128" s="3" t="str">
        <f t="shared" si="10"/>
        <v>Poli</v>
      </c>
      <c r="H128" s="3" t="str">
        <f t="shared" si="10"/>
        <v>Nuria</v>
      </c>
      <c r="I128" s="3" t="str">
        <f t="shared" si="10"/>
        <v>Sara</v>
      </c>
      <c r="J128" s="3" t="str">
        <f t="shared" si="10"/>
        <v>Dario</v>
      </c>
      <c r="K128" s="3" t="str">
        <f t="shared" si="10"/>
        <v>Pedro</v>
      </c>
      <c r="L128" s="3" t="str">
        <f t="shared" si="10"/>
        <v>Inés</v>
      </c>
      <c r="M128" s="3" t="str">
        <f t="shared" si="10"/>
        <v>Chema</v>
      </c>
      <c r="N128" s="3" t="str">
        <f t="shared" si="10"/>
        <v>Maite</v>
      </c>
      <c r="O128" s="3" t="str">
        <f t="shared" si="10"/>
        <v>Anuncia</v>
      </c>
      <c r="P128" s="3" t="str">
        <f t="shared" si="10"/>
        <v>Roberto</v>
      </c>
      <c r="Q128" s="3" t="str">
        <f t="shared" si="10"/>
        <v>Hana</v>
      </c>
      <c r="R128" s="3" t="str">
        <f t="shared" si="10"/>
        <v>Antonio</v>
      </c>
      <c r="S128" s="3" t="str">
        <f t="shared" si="10"/>
        <v>Annie (USA)</v>
      </c>
      <c r="T128" s="24">
        <f>A128</f>
        <v>2019</v>
      </c>
    </row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93"/>
  <conditionalFormatting sqref="B100:S107 N111:N114">
    <cfRule type="cellIs" dxfId="0" priority="1" stopIfTrue="1" operator="equal">
      <formula>"PLATA"</formula>
    </cfRule>
  </conditionalFormatting>
  <conditionalFormatting sqref="B100:S107 N111:N114">
    <cfRule type="cellIs" dxfId="1" priority="2" stopIfTrue="1" operator="equal">
      <formula>"ORO"</formula>
    </cfRule>
  </conditionalFormatting>
  <conditionalFormatting sqref="B100:S107 N111:N114">
    <cfRule type="cellIs" dxfId="2" priority="3" stopIfTrue="1" operator="equal">
      <formula>"BRONCE"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6" width="10.75"/>
    <col customWidth="1" min="7" max="26" width="14.38"/>
  </cols>
  <sheetData>
    <row r="1" ht="12.75" customHeight="1">
      <c r="A1" s="24">
        <v>2020.0</v>
      </c>
    </row>
    <row r="2" ht="12.75" customHeight="1">
      <c r="B2" s="2" t="s">
        <v>448</v>
      </c>
    </row>
    <row r="3" ht="12.75" customHeight="1"/>
    <row r="4" ht="12.75" customHeight="1">
      <c r="B4" s="2" t="s">
        <v>449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9" width="10.75"/>
    <col customWidth="1" min="20" max="26" width="14.38"/>
  </cols>
  <sheetData>
    <row r="1" ht="12.75" customHeight="1">
      <c r="A1" s="24">
        <v>2021.0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150</v>
      </c>
      <c r="P1" s="16" t="s">
        <v>151</v>
      </c>
      <c r="Q1" s="2" t="s">
        <v>345</v>
      </c>
      <c r="R1" s="2" t="s">
        <v>413</v>
      </c>
      <c r="S1" s="24">
        <f t="shared" ref="S1:S54" si="1">A1</f>
        <v>2021</v>
      </c>
    </row>
    <row r="2" ht="12.75" customHeight="1">
      <c r="A2" s="2" t="s">
        <v>92</v>
      </c>
      <c r="B2" s="2" t="s">
        <v>90</v>
      </c>
      <c r="C2" s="2" t="s">
        <v>15</v>
      </c>
      <c r="D2" s="2" t="s">
        <v>90</v>
      </c>
      <c r="E2" s="2" t="s">
        <v>90</v>
      </c>
      <c r="F2" s="2" t="s">
        <v>16</v>
      </c>
      <c r="G2" s="2" t="s">
        <v>90</v>
      </c>
      <c r="H2" s="2" t="s">
        <v>17</v>
      </c>
      <c r="I2" s="2" t="s">
        <v>90</v>
      </c>
      <c r="J2" s="2" t="s">
        <v>90</v>
      </c>
      <c r="K2" s="2" t="s">
        <v>90</v>
      </c>
      <c r="L2" s="2" t="s">
        <v>90</v>
      </c>
      <c r="M2" s="2" t="s">
        <v>90</v>
      </c>
      <c r="N2" s="2" t="s">
        <v>90</v>
      </c>
      <c r="O2" s="2" t="s">
        <v>90</v>
      </c>
      <c r="P2" s="2" t="s">
        <v>90</v>
      </c>
      <c r="Q2" s="2" t="s">
        <v>89</v>
      </c>
      <c r="R2" s="2" t="s">
        <v>90</v>
      </c>
      <c r="S2" s="2" t="str">
        <f t="shared" si="1"/>
        <v>Mario Kart</v>
      </c>
    </row>
    <row r="3" ht="12.75" customHeight="1">
      <c r="A3" s="2" t="s">
        <v>379</v>
      </c>
      <c r="B3" s="2" t="s">
        <v>90</v>
      </c>
      <c r="C3" s="2" t="s">
        <v>16</v>
      </c>
      <c r="D3" s="2" t="s">
        <v>90</v>
      </c>
      <c r="E3" s="2" t="s">
        <v>90</v>
      </c>
      <c r="F3" s="2" t="s">
        <v>15</v>
      </c>
      <c r="G3" s="2" t="s">
        <v>90</v>
      </c>
      <c r="H3" s="2" t="s">
        <v>15</v>
      </c>
      <c r="I3" s="2" t="s">
        <v>90</v>
      </c>
      <c r="J3" s="2" t="s">
        <v>90</v>
      </c>
      <c r="K3" s="2" t="s">
        <v>90</v>
      </c>
      <c r="L3" s="2" t="s">
        <v>90</v>
      </c>
      <c r="M3" s="2" t="s">
        <v>90</v>
      </c>
      <c r="N3" s="2" t="s">
        <v>90</v>
      </c>
      <c r="O3" s="2" t="s">
        <v>90</v>
      </c>
      <c r="P3" s="2" t="s">
        <v>90</v>
      </c>
      <c r="Q3" s="2" t="s">
        <v>16</v>
      </c>
      <c r="R3" s="2" t="s">
        <v>90</v>
      </c>
      <c r="S3" s="2" t="str">
        <f t="shared" si="1"/>
        <v>Código secreto</v>
      </c>
    </row>
    <row r="4" ht="12.75" customHeight="1">
      <c r="A4" s="2">
        <v>-1.0</v>
      </c>
      <c r="B4" s="2" t="s">
        <v>90</v>
      </c>
      <c r="C4" s="2" t="s">
        <v>89</v>
      </c>
      <c r="D4" s="2" t="s">
        <v>90</v>
      </c>
      <c r="E4" s="2" t="s">
        <v>90</v>
      </c>
      <c r="F4" s="2" t="s">
        <v>16</v>
      </c>
      <c r="G4" s="2" t="s">
        <v>90</v>
      </c>
      <c r="H4" s="2" t="s">
        <v>17</v>
      </c>
      <c r="I4" s="2" t="s">
        <v>90</v>
      </c>
      <c r="J4" s="2" t="s">
        <v>90</v>
      </c>
      <c r="K4" s="2" t="s">
        <v>90</v>
      </c>
      <c r="L4" s="2" t="s">
        <v>90</v>
      </c>
      <c r="M4" s="2" t="s">
        <v>90</v>
      </c>
      <c r="N4" s="2" t="s">
        <v>90</v>
      </c>
      <c r="O4" s="2" t="s">
        <v>90</v>
      </c>
      <c r="P4" s="2" t="s">
        <v>90</v>
      </c>
      <c r="Q4" s="2" t="s">
        <v>15</v>
      </c>
      <c r="R4" s="2" t="s">
        <v>90</v>
      </c>
      <c r="S4" s="2">
        <f t="shared" si="1"/>
        <v>-1</v>
      </c>
    </row>
    <row r="5" ht="12.75" customHeight="1">
      <c r="A5" s="2" t="s">
        <v>44</v>
      </c>
      <c r="B5" s="2" t="s">
        <v>90</v>
      </c>
      <c r="C5" s="2" t="s">
        <v>17</v>
      </c>
      <c r="D5" s="2" t="s">
        <v>90</v>
      </c>
      <c r="E5" s="2" t="s">
        <v>90</v>
      </c>
      <c r="F5" s="2" t="s">
        <v>16</v>
      </c>
      <c r="G5" s="2" t="s">
        <v>90</v>
      </c>
      <c r="H5" s="2" t="s">
        <v>89</v>
      </c>
      <c r="I5" s="2" t="s">
        <v>90</v>
      </c>
      <c r="J5" s="2" t="s">
        <v>90</v>
      </c>
      <c r="K5" s="2" t="s">
        <v>90</v>
      </c>
      <c r="L5" s="2" t="s">
        <v>90</v>
      </c>
      <c r="M5" s="2" t="s">
        <v>15</v>
      </c>
      <c r="N5" s="2" t="s">
        <v>90</v>
      </c>
      <c r="O5" s="2" t="s">
        <v>89</v>
      </c>
      <c r="P5" s="2" t="s">
        <v>90</v>
      </c>
      <c r="Q5" s="2" t="s">
        <v>17</v>
      </c>
      <c r="R5" s="2" t="s">
        <v>90</v>
      </c>
      <c r="S5" s="2" t="str">
        <f t="shared" si="1"/>
        <v>Criquet</v>
      </c>
    </row>
    <row r="6" ht="12.75" customHeight="1">
      <c r="A6" s="2" t="s">
        <v>201</v>
      </c>
      <c r="B6" s="2" t="s">
        <v>90</v>
      </c>
      <c r="C6" s="2" t="s">
        <v>17</v>
      </c>
      <c r="D6" s="2" t="s">
        <v>90</v>
      </c>
      <c r="E6" s="2" t="s">
        <v>90</v>
      </c>
      <c r="F6" s="2" t="s">
        <v>16</v>
      </c>
      <c r="G6" s="2" t="s">
        <v>90</v>
      </c>
      <c r="H6" s="2" t="s">
        <v>16</v>
      </c>
      <c r="I6" s="2" t="s">
        <v>90</v>
      </c>
      <c r="J6" s="2" t="s">
        <v>90</v>
      </c>
      <c r="K6" s="2" t="s">
        <v>90</v>
      </c>
      <c r="L6" s="2" t="s">
        <v>15</v>
      </c>
      <c r="M6" s="2" t="s">
        <v>15</v>
      </c>
      <c r="N6" s="2" t="s">
        <v>90</v>
      </c>
      <c r="O6" s="2" t="s">
        <v>90</v>
      </c>
      <c r="P6" s="2" t="s">
        <v>90</v>
      </c>
      <c r="Q6" s="2" t="s">
        <v>17</v>
      </c>
      <c r="R6" s="2" t="s">
        <v>90</v>
      </c>
      <c r="S6" s="2" t="str">
        <f t="shared" si="1"/>
        <v>Badminton</v>
      </c>
    </row>
    <row r="7" ht="12.75" customHeight="1">
      <c r="A7" s="2" t="s">
        <v>450</v>
      </c>
      <c r="B7" s="2" t="s">
        <v>90</v>
      </c>
      <c r="C7" s="2" t="s">
        <v>89</v>
      </c>
      <c r="D7" s="2" t="s">
        <v>90</v>
      </c>
      <c r="E7" s="2" t="s">
        <v>90</v>
      </c>
      <c r="F7" s="2" t="s">
        <v>16</v>
      </c>
      <c r="G7" s="2" t="s">
        <v>90</v>
      </c>
      <c r="H7" s="2" t="s">
        <v>15</v>
      </c>
      <c r="I7" s="2" t="s">
        <v>90</v>
      </c>
      <c r="J7" s="2" t="s">
        <v>90</v>
      </c>
      <c r="K7" s="2" t="s">
        <v>90</v>
      </c>
      <c r="L7" s="2" t="s">
        <v>17</v>
      </c>
      <c r="M7" s="2" t="s">
        <v>89</v>
      </c>
      <c r="N7" s="2" t="s">
        <v>90</v>
      </c>
      <c r="O7" s="2" t="s">
        <v>90</v>
      </c>
      <c r="P7" s="2" t="s">
        <v>90</v>
      </c>
      <c r="Q7" s="2" t="s">
        <v>89</v>
      </c>
      <c r="R7" s="2" t="s">
        <v>90</v>
      </c>
      <c r="S7" s="2" t="str">
        <f t="shared" si="1"/>
        <v>Badminton individual</v>
      </c>
    </row>
    <row r="8" ht="12.75" customHeight="1">
      <c r="A8" s="2" t="s">
        <v>451</v>
      </c>
      <c r="B8" s="2" t="s">
        <v>90</v>
      </c>
      <c r="C8" s="2" t="s">
        <v>17</v>
      </c>
      <c r="D8" s="2" t="s">
        <v>90</v>
      </c>
      <c r="E8" s="2" t="s">
        <v>90</v>
      </c>
      <c r="F8" s="2" t="s">
        <v>16</v>
      </c>
      <c r="G8" s="2" t="s">
        <v>90</v>
      </c>
      <c r="H8" s="2" t="s">
        <v>89</v>
      </c>
      <c r="I8" s="2" t="s">
        <v>90</v>
      </c>
      <c r="J8" s="2" t="s">
        <v>90</v>
      </c>
      <c r="K8" s="2" t="s">
        <v>90</v>
      </c>
      <c r="L8" s="2" t="s">
        <v>90</v>
      </c>
      <c r="M8" s="2" t="s">
        <v>15</v>
      </c>
      <c r="N8" s="2" t="s">
        <v>90</v>
      </c>
      <c r="O8" s="2" t="s">
        <v>90</v>
      </c>
      <c r="P8" s="2" t="s">
        <v>90</v>
      </c>
      <c r="Q8" s="2" t="s">
        <v>89</v>
      </c>
      <c r="R8" s="2" t="s">
        <v>90</v>
      </c>
      <c r="S8" s="2" t="str">
        <f t="shared" si="1"/>
        <v>Lanzamiento avión</v>
      </c>
    </row>
    <row r="9" ht="12.75" customHeight="1">
      <c r="A9" s="2" t="s">
        <v>452</v>
      </c>
      <c r="B9" s="2" t="s">
        <v>90</v>
      </c>
      <c r="C9" s="2" t="s">
        <v>89</v>
      </c>
      <c r="D9" s="2" t="s">
        <v>90</v>
      </c>
      <c r="E9" s="2" t="s">
        <v>90</v>
      </c>
      <c r="F9" s="2" t="s">
        <v>17</v>
      </c>
      <c r="G9" s="2" t="s">
        <v>90</v>
      </c>
      <c r="H9" s="2" t="s">
        <v>89</v>
      </c>
      <c r="I9" s="2" t="s">
        <v>90</v>
      </c>
      <c r="J9" s="2" t="s">
        <v>90</v>
      </c>
      <c r="K9" s="2" t="s">
        <v>90</v>
      </c>
      <c r="L9" s="2" t="s">
        <v>90</v>
      </c>
      <c r="M9" s="2" t="s">
        <v>16</v>
      </c>
      <c r="N9" s="2" t="s">
        <v>90</v>
      </c>
      <c r="O9" s="2" t="s">
        <v>90</v>
      </c>
      <c r="P9" s="2" t="s">
        <v>90</v>
      </c>
      <c r="Q9" s="2" t="s">
        <v>15</v>
      </c>
      <c r="R9" s="2" t="s">
        <v>90</v>
      </c>
      <c r="S9" s="2" t="str">
        <f t="shared" si="1"/>
        <v>Petanca desde balcón</v>
      </c>
    </row>
    <row r="10" ht="12.75" customHeight="1">
      <c r="A10" s="2" t="s">
        <v>453</v>
      </c>
      <c r="B10" s="2" t="s">
        <v>90</v>
      </c>
      <c r="C10" s="2" t="s">
        <v>17</v>
      </c>
      <c r="D10" s="2" t="s">
        <v>90</v>
      </c>
      <c r="E10" s="2" t="s">
        <v>90</v>
      </c>
      <c r="F10" s="2" t="s">
        <v>15</v>
      </c>
      <c r="G10" s="2" t="s">
        <v>90</v>
      </c>
      <c r="H10" s="2" t="s">
        <v>89</v>
      </c>
      <c r="I10" s="2" t="s">
        <v>90</v>
      </c>
      <c r="J10" s="2" t="s">
        <v>90</v>
      </c>
      <c r="K10" s="2" t="s">
        <v>90</v>
      </c>
      <c r="L10" s="2" t="s">
        <v>89</v>
      </c>
      <c r="M10" s="2" t="s">
        <v>89</v>
      </c>
      <c r="N10" s="2" t="s">
        <v>90</v>
      </c>
      <c r="O10" s="2" t="s">
        <v>90</v>
      </c>
      <c r="P10" s="2" t="s">
        <v>90</v>
      </c>
      <c r="Q10" s="2" t="s">
        <v>16</v>
      </c>
      <c r="R10" s="2" t="s">
        <v>90</v>
      </c>
      <c r="S10" s="2" t="str">
        <f t="shared" si="1"/>
        <v>Lanzamiento pelota desde balcón</v>
      </c>
    </row>
    <row r="11" ht="12.75" customHeight="1">
      <c r="A11" s="2" t="s">
        <v>454</v>
      </c>
      <c r="B11" s="2" t="s">
        <v>90</v>
      </c>
      <c r="C11" s="2" t="s">
        <v>89</v>
      </c>
      <c r="D11" s="2" t="s">
        <v>90</v>
      </c>
      <c r="E11" s="2" t="s">
        <v>90</v>
      </c>
      <c r="F11" s="2" t="s">
        <v>15</v>
      </c>
      <c r="G11" s="2" t="s">
        <v>90</v>
      </c>
      <c r="H11" s="2" t="s">
        <v>89</v>
      </c>
      <c r="I11" s="2" t="s">
        <v>90</v>
      </c>
      <c r="J11" s="2" t="s">
        <v>90</v>
      </c>
      <c r="K11" s="2" t="s">
        <v>90</v>
      </c>
      <c r="L11" s="2" t="s">
        <v>89</v>
      </c>
      <c r="M11" s="2" t="s">
        <v>16</v>
      </c>
      <c r="N11" s="2" t="s">
        <v>90</v>
      </c>
      <c r="O11" s="2" t="s">
        <v>90</v>
      </c>
      <c r="P11" s="2" t="s">
        <v>90</v>
      </c>
      <c r="Q11" s="2" t="s">
        <v>17</v>
      </c>
      <c r="R11" s="2" t="s">
        <v>90</v>
      </c>
      <c r="S11" s="2" t="str">
        <f t="shared" si="1"/>
        <v>Lanzamiento bádminton desde balcón</v>
      </c>
    </row>
    <row r="12" ht="12.75" customHeight="1">
      <c r="A12" s="2" t="s">
        <v>455</v>
      </c>
      <c r="B12" s="2" t="s">
        <v>90</v>
      </c>
      <c r="C12" s="2" t="s">
        <v>89</v>
      </c>
      <c r="D12" s="2" t="s">
        <v>90</v>
      </c>
      <c r="E12" s="2" t="s">
        <v>90</v>
      </c>
      <c r="F12" s="2" t="s">
        <v>16</v>
      </c>
      <c r="G12" s="2" t="s">
        <v>90</v>
      </c>
      <c r="H12" s="2" t="s">
        <v>89</v>
      </c>
      <c r="I12" s="2" t="s">
        <v>90</v>
      </c>
      <c r="J12" s="2" t="s">
        <v>90</v>
      </c>
      <c r="K12" s="2" t="s">
        <v>90</v>
      </c>
      <c r="L12" s="2" t="s">
        <v>17</v>
      </c>
      <c r="M12" s="2" t="s">
        <v>15</v>
      </c>
      <c r="N12" s="2" t="s">
        <v>90</v>
      </c>
      <c r="O12" s="2" t="s">
        <v>90</v>
      </c>
      <c r="P12" s="2" t="s">
        <v>90</v>
      </c>
      <c r="Q12" s="2" t="s">
        <v>89</v>
      </c>
      <c r="R12" s="2" t="s">
        <v>90</v>
      </c>
      <c r="S12" s="2" t="str">
        <f t="shared" si="1"/>
        <v>Lanzamiento de peso</v>
      </c>
    </row>
    <row r="13" ht="12.75" customHeight="1">
      <c r="A13" s="2" t="s">
        <v>435</v>
      </c>
      <c r="B13" s="2" t="s">
        <v>90</v>
      </c>
      <c r="C13" s="2" t="s">
        <v>89</v>
      </c>
      <c r="D13" s="2" t="s">
        <v>90</v>
      </c>
      <c r="E13" s="2" t="s">
        <v>90</v>
      </c>
      <c r="F13" s="2" t="s">
        <v>17</v>
      </c>
      <c r="G13" s="2" t="s">
        <v>90</v>
      </c>
      <c r="H13" s="2" t="s">
        <v>89</v>
      </c>
      <c r="I13" s="2" t="s">
        <v>90</v>
      </c>
      <c r="J13" s="2" t="s">
        <v>90</v>
      </c>
      <c r="K13" s="2" t="s">
        <v>90</v>
      </c>
      <c r="L13" s="2" t="s">
        <v>17</v>
      </c>
      <c r="M13" s="2" t="s">
        <v>15</v>
      </c>
      <c r="N13" s="2" t="s">
        <v>90</v>
      </c>
      <c r="O13" s="2" t="s">
        <v>90</v>
      </c>
      <c r="P13" s="2" t="s">
        <v>90</v>
      </c>
      <c r="Q13" s="2" t="s">
        <v>16</v>
      </c>
      <c r="R13" s="2" t="s">
        <v>90</v>
      </c>
      <c r="S13" s="2" t="str">
        <f t="shared" si="1"/>
        <v>Lanzamiento pelota</v>
      </c>
    </row>
    <row r="14" ht="12.75" customHeight="1">
      <c r="A14" s="2" t="s">
        <v>18</v>
      </c>
      <c r="B14" s="2" t="s">
        <v>15</v>
      </c>
      <c r="C14" s="2" t="s">
        <v>16</v>
      </c>
      <c r="D14" s="2" t="s">
        <v>90</v>
      </c>
      <c r="E14" s="2" t="s">
        <v>90</v>
      </c>
      <c r="F14" s="2" t="s">
        <v>15</v>
      </c>
      <c r="G14" s="2" t="s">
        <v>16</v>
      </c>
      <c r="H14" s="2" t="s">
        <v>15</v>
      </c>
      <c r="I14" s="2" t="s">
        <v>16</v>
      </c>
      <c r="J14" s="2" t="s">
        <v>15</v>
      </c>
      <c r="K14" s="2" t="s">
        <v>90</v>
      </c>
      <c r="L14" s="2" t="s">
        <v>15</v>
      </c>
      <c r="M14" s="2" t="s">
        <v>16</v>
      </c>
      <c r="N14" s="2" t="s">
        <v>90</v>
      </c>
      <c r="O14" s="2" t="s">
        <v>90</v>
      </c>
      <c r="P14" s="2" t="s">
        <v>90</v>
      </c>
      <c r="Q14" s="2" t="s">
        <v>90</v>
      </c>
      <c r="R14" s="2" t="s">
        <v>90</v>
      </c>
      <c r="S14" s="2" t="str">
        <f t="shared" si="1"/>
        <v>Fútbol</v>
      </c>
    </row>
    <row r="15" ht="12.75" customHeight="1">
      <c r="A15" s="2" t="s">
        <v>456</v>
      </c>
      <c r="B15" s="2" t="s">
        <v>15</v>
      </c>
      <c r="C15" s="2" t="s">
        <v>89</v>
      </c>
      <c r="D15" s="2" t="s">
        <v>90</v>
      </c>
      <c r="E15" s="2" t="s">
        <v>90</v>
      </c>
      <c r="F15" s="2" t="s">
        <v>15</v>
      </c>
      <c r="G15" s="2" t="s">
        <v>89</v>
      </c>
      <c r="H15" s="2" t="s">
        <v>15</v>
      </c>
      <c r="I15" s="2" t="s">
        <v>89</v>
      </c>
      <c r="J15" s="2" t="s">
        <v>15</v>
      </c>
      <c r="K15" s="2" t="s">
        <v>90</v>
      </c>
      <c r="L15" s="2" t="s">
        <v>89</v>
      </c>
      <c r="M15" s="2" t="s">
        <v>15</v>
      </c>
      <c r="N15" s="2" t="s">
        <v>90</v>
      </c>
      <c r="O15" s="2" t="s">
        <v>90</v>
      </c>
      <c r="P15" s="2" t="s">
        <v>90</v>
      </c>
      <c r="Q15" s="2" t="s">
        <v>16</v>
      </c>
      <c r="R15" s="2" t="s">
        <v>90</v>
      </c>
      <c r="S15" s="2" t="str">
        <f t="shared" si="1"/>
        <v>Hombre lobo</v>
      </c>
    </row>
    <row r="16" ht="12.75" customHeight="1">
      <c r="A16" s="2">
        <v>-1.0</v>
      </c>
      <c r="B16" s="2" t="s">
        <v>16</v>
      </c>
      <c r="C16" s="2" t="s">
        <v>89</v>
      </c>
      <c r="D16" s="2" t="s">
        <v>90</v>
      </c>
      <c r="E16" s="2" t="s">
        <v>90</v>
      </c>
      <c r="F16" s="2" t="s">
        <v>15</v>
      </c>
      <c r="G16" s="2" t="s">
        <v>89</v>
      </c>
      <c r="H16" s="2" t="s">
        <v>89</v>
      </c>
      <c r="I16" s="2" t="s">
        <v>17</v>
      </c>
      <c r="J16" s="2" t="s">
        <v>89</v>
      </c>
      <c r="K16" s="2" t="s">
        <v>90</v>
      </c>
      <c r="L16" s="2" t="s">
        <v>89</v>
      </c>
      <c r="M16" s="2" t="s">
        <v>89</v>
      </c>
      <c r="N16" s="2" t="s">
        <v>90</v>
      </c>
      <c r="O16" s="2" t="s">
        <v>90</v>
      </c>
      <c r="P16" s="2" t="s">
        <v>90</v>
      </c>
      <c r="Q16" s="2" t="s">
        <v>89</v>
      </c>
      <c r="R16" s="2" t="s">
        <v>90</v>
      </c>
      <c r="S16" s="2">
        <f t="shared" si="1"/>
        <v>-1</v>
      </c>
    </row>
    <row r="17" ht="12.75" customHeight="1">
      <c r="A17" s="9" t="s">
        <v>91</v>
      </c>
      <c r="B17" s="2" t="s">
        <v>15</v>
      </c>
      <c r="C17" s="2" t="s">
        <v>17</v>
      </c>
      <c r="D17" s="2" t="s">
        <v>90</v>
      </c>
      <c r="E17" s="2" t="s">
        <v>90</v>
      </c>
      <c r="F17" s="2" t="s">
        <v>89</v>
      </c>
      <c r="G17" s="2" t="s">
        <v>89</v>
      </c>
      <c r="H17" s="2" t="s">
        <v>16</v>
      </c>
      <c r="I17" s="2" t="s">
        <v>89</v>
      </c>
      <c r="J17" s="2" t="s">
        <v>89</v>
      </c>
      <c r="K17" s="2" t="s">
        <v>90</v>
      </c>
      <c r="L17" s="2" t="s">
        <v>16</v>
      </c>
      <c r="M17" s="2" t="s">
        <v>90</v>
      </c>
      <c r="N17" s="2" t="s">
        <v>90</v>
      </c>
      <c r="O17" s="2" t="s">
        <v>90</v>
      </c>
      <c r="P17" s="2" t="s">
        <v>90</v>
      </c>
      <c r="Q17" s="2" t="s">
        <v>17</v>
      </c>
      <c r="R17" s="2" t="s">
        <v>90</v>
      </c>
      <c r="S17" s="2" t="str">
        <f t="shared" si="1"/>
        <v>Catán</v>
      </c>
    </row>
    <row r="18" ht="12.75" customHeight="1">
      <c r="A18" s="2" t="s">
        <v>457</v>
      </c>
      <c r="B18" s="2" t="s">
        <v>15</v>
      </c>
      <c r="C18" s="2" t="s">
        <v>90</v>
      </c>
      <c r="D18" s="2" t="s">
        <v>90</v>
      </c>
      <c r="E18" s="2" t="s">
        <v>90</v>
      </c>
      <c r="F18" s="2" t="s">
        <v>16</v>
      </c>
      <c r="G18" s="2" t="s">
        <v>90</v>
      </c>
      <c r="H18" s="2" t="s">
        <v>16</v>
      </c>
      <c r="I18" s="2" t="s">
        <v>90</v>
      </c>
      <c r="J18" s="2" t="s">
        <v>15</v>
      </c>
      <c r="K18" s="2" t="s">
        <v>90</v>
      </c>
      <c r="L18" s="2" t="s">
        <v>90</v>
      </c>
      <c r="M18" s="2" t="s">
        <v>90</v>
      </c>
      <c r="N18" s="2" t="s">
        <v>90</v>
      </c>
      <c r="O18" s="2" t="s">
        <v>90</v>
      </c>
      <c r="P18" s="2" t="s">
        <v>90</v>
      </c>
      <c r="Q18" s="2" t="s">
        <v>90</v>
      </c>
      <c r="R18" s="2" t="s">
        <v>90</v>
      </c>
      <c r="S18" s="2" t="str">
        <f t="shared" si="1"/>
        <v>Patchworld</v>
      </c>
    </row>
    <row r="19" ht="12.75" customHeight="1">
      <c r="A19" s="2" t="s">
        <v>31</v>
      </c>
      <c r="B19" s="2" t="s">
        <v>15</v>
      </c>
      <c r="C19" s="2" t="s">
        <v>90</v>
      </c>
      <c r="D19" s="2" t="s">
        <v>90</v>
      </c>
      <c r="E19" s="2" t="s">
        <v>90</v>
      </c>
      <c r="F19" s="2" t="s">
        <v>16</v>
      </c>
      <c r="G19" s="2" t="s">
        <v>17</v>
      </c>
      <c r="H19" s="2" t="s">
        <v>89</v>
      </c>
      <c r="I19" s="2" t="s">
        <v>90</v>
      </c>
      <c r="J19" s="2" t="s">
        <v>89</v>
      </c>
      <c r="K19" s="2" t="s">
        <v>90</v>
      </c>
      <c r="L19" s="2" t="s">
        <v>90</v>
      </c>
      <c r="M19" s="2" t="s">
        <v>90</v>
      </c>
      <c r="N19" s="2" t="s">
        <v>90</v>
      </c>
      <c r="O19" s="2" t="s">
        <v>90</v>
      </c>
      <c r="P19" s="2" t="s">
        <v>90</v>
      </c>
      <c r="Q19" s="2" t="s">
        <v>90</v>
      </c>
      <c r="R19" s="2" t="s">
        <v>90</v>
      </c>
      <c r="S19" s="2" t="str">
        <f t="shared" si="1"/>
        <v>Dardos</v>
      </c>
    </row>
    <row r="20" ht="12.75" customHeight="1">
      <c r="A20" s="2" t="s">
        <v>383</v>
      </c>
      <c r="B20" s="2" t="s">
        <v>15</v>
      </c>
      <c r="C20" s="2" t="s">
        <v>90</v>
      </c>
      <c r="D20" s="2" t="s">
        <v>90</v>
      </c>
      <c r="E20" s="2" t="s">
        <v>90</v>
      </c>
      <c r="F20" s="2" t="s">
        <v>16</v>
      </c>
      <c r="G20" s="2" t="s">
        <v>17</v>
      </c>
      <c r="H20" s="2" t="s">
        <v>89</v>
      </c>
      <c r="I20" s="2" t="s">
        <v>90</v>
      </c>
      <c r="J20" s="2" t="s">
        <v>89</v>
      </c>
      <c r="K20" s="2" t="s">
        <v>90</v>
      </c>
      <c r="L20" s="2" t="s">
        <v>90</v>
      </c>
      <c r="M20" s="2" t="s">
        <v>90</v>
      </c>
      <c r="N20" s="2" t="s">
        <v>90</v>
      </c>
      <c r="O20" s="2" t="s">
        <v>90</v>
      </c>
      <c r="P20" s="2" t="s">
        <v>90</v>
      </c>
      <c r="Q20" s="2" t="s">
        <v>90</v>
      </c>
      <c r="R20" s="2" t="s">
        <v>90</v>
      </c>
      <c r="S20" s="2" t="str">
        <f t="shared" si="1"/>
        <v>Lanzar dardos</v>
      </c>
    </row>
    <row r="21" ht="12.75" customHeight="1">
      <c r="A21" s="2" t="s">
        <v>458</v>
      </c>
      <c r="B21" s="2" t="s">
        <v>16</v>
      </c>
      <c r="C21" s="2" t="s">
        <v>90</v>
      </c>
      <c r="D21" s="2" t="s">
        <v>90</v>
      </c>
      <c r="E21" s="2" t="s">
        <v>90</v>
      </c>
      <c r="F21" s="2" t="s">
        <v>15</v>
      </c>
      <c r="G21" s="2" t="s">
        <v>17</v>
      </c>
      <c r="H21" s="2" t="s">
        <v>89</v>
      </c>
      <c r="I21" s="2" t="s">
        <v>90</v>
      </c>
      <c r="J21" s="2" t="s">
        <v>89</v>
      </c>
      <c r="K21" s="2" t="s">
        <v>90</v>
      </c>
      <c r="L21" s="2" t="s">
        <v>90</v>
      </c>
      <c r="M21" s="2" t="s">
        <v>90</v>
      </c>
      <c r="N21" s="2" t="s">
        <v>90</v>
      </c>
      <c r="O21" s="2" t="s">
        <v>90</v>
      </c>
      <c r="P21" s="2" t="s">
        <v>90</v>
      </c>
      <c r="Q21" s="2" t="s">
        <v>90</v>
      </c>
      <c r="R21" s="2" t="s">
        <v>90</v>
      </c>
      <c r="S21" s="2" t="str">
        <f t="shared" si="1"/>
        <v>Padel toques</v>
      </c>
    </row>
    <row r="22" ht="12.75" customHeight="1">
      <c r="A22" s="2" t="s">
        <v>92</v>
      </c>
      <c r="B22" s="2" t="s">
        <v>89</v>
      </c>
      <c r="C22" s="2" t="s">
        <v>90</v>
      </c>
      <c r="D22" s="2" t="s">
        <v>90</v>
      </c>
      <c r="E22" s="2" t="s">
        <v>90</v>
      </c>
      <c r="F22" s="2" t="s">
        <v>16</v>
      </c>
      <c r="G22" s="2" t="s">
        <v>90</v>
      </c>
      <c r="H22" s="2" t="s">
        <v>15</v>
      </c>
      <c r="I22" s="2" t="s">
        <v>90</v>
      </c>
      <c r="J22" s="2" t="s">
        <v>17</v>
      </c>
      <c r="K22" s="2" t="s">
        <v>90</v>
      </c>
      <c r="L22" s="2" t="s">
        <v>90</v>
      </c>
      <c r="M22" s="2" t="s">
        <v>90</v>
      </c>
      <c r="N22" s="2" t="s">
        <v>90</v>
      </c>
      <c r="O22" s="2" t="s">
        <v>90</v>
      </c>
      <c r="P22" s="2" t="s">
        <v>90</v>
      </c>
      <c r="Q22" s="2" t="s">
        <v>90</v>
      </c>
      <c r="R22" s="2" t="s">
        <v>90</v>
      </c>
      <c r="S22" s="2" t="str">
        <f t="shared" si="1"/>
        <v>Mario Kart</v>
      </c>
    </row>
    <row r="23" ht="12.75" customHeight="1">
      <c r="A23" s="2" t="s">
        <v>196</v>
      </c>
      <c r="B23" s="2" t="s">
        <v>17</v>
      </c>
      <c r="C23" s="2" t="s">
        <v>90</v>
      </c>
      <c r="D23" s="2" t="s">
        <v>90</v>
      </c>
      <c r="E23" s="2" t="s">
        <v>90</v>
      </c>
      <c r="F23" s="2" t="s">
        <v>16</v>
      </c>
      <c r="G23" s="2" t="s">
        <v>90</v>
      </c>
      <c r="H23" s="2" t="s">
        <v>90</v>
      </c>
      <c r="I23" s="2" t="s">
        <v>90</v>
      </c>
      <c r="J23" s="2" t="s">
        <v>15</v>
      </c>
      <c r="K23" s="2" t="s">
        <v>90</v>
      </c>
      <c r="L23" s="2" t="s">
        <v>90</v>
      </c>
      <c r="M23" s="2" t="s">
        <v>90</v>
      </c>
      <c r="N23" s="2" t="s">
        <v>90</v>
      </c>
      <c r="O23" s="2" t="s">
        <v>90</v>
      </c>
      <c r="P23" s="2" t="s">
        <v>90</v>
      </c>
      <c r="Q23" s="2" t="s">
        <v>90</v>
      </c>
      <c r="R23" s="2" t="s">
        <v>90</v>
      </c>
      <c r="S23" s="2" t="str">
        <f t="shared" si="1"/>
        <v>Call of Duty</v>
      </c>
    </row>
    <row r="24" ht="12.75" customHeight="1">
      <c r="A24" s="2" t="s">
        <v>459</v>
      </c>
      <c r="B24" s="2" t="s">
        <v>15</v>
      </c>
      <c r="C24" s="2" t="s">
        <v>90</v>
      </c>
      <c r="D24" s="2" t="s">
        <v>90</v>
      </c>
      <c r="E24" s="2" t="s">
        <v>90</v>
      </c>
      <c r="F24" s="2" t="s">
        <v>16</v>
      </c>
      <c r="G24" s="2" t="s">
        <v>90</v>
      </c>
      <c r="H24" s="2" t="s">
        <v>89</v>
      </c>
      <c r="I24" s="2" t="s">
        <v>90</v>
      </c>
      <c r="J24" s="2" t="s">
        <v>17</v>
      </c>
      <c r="K24" s="2" t="s">
        <v>90</v>
      </c>
      <c r="L24" s="2" t="s">
        <v>90</v>
      </c>
      <c r="M24" s="2" t="s">
        <v>90</v>
      </c>
      <c r="N24" s="2" t="s">
        <v>90</v>
      </c>
      <c r="O24" s="2" t="s">
        <v>90</v>
      </c>
      <c r="P24" s="2" t="s">
        <v>90</v>
      </c>
      <c r="Q24" s="2" t="s">
        <v>90</v>
      </c>
      <c r="R24" s="2" t="s">
        <v>90</v>
      </c>
      <c r="S24" s="2" t="str">
        <f t="shared" si="1"/>
        <v>Juego Comunista</v>
      </c>
    </row>
    <row r="25" ht="12.75" customHeight="1">
      <c r="A25" s="2" t="s">
        <v>27</v>
      </c>
      <c r="B25" s="2" t="s">
        <v>15</v>
      </c>
      <c r="C25" s="2" t="s">
        <v>90</v>
      </c>
      <c r="D25" s="2" t="s">
        <v>90</v>
      </c>
      <c r="E25" s="2" t="s">
        <v>90</v>
      </c>
      <c r="F25" s="2" t="s">
        <v>89</v>
      </c>
      <c r="G25" s="2" t="s">
        <v>15</v>
      </c>
      <c r="H25" s="2" t="s">
        <v>89</v>
      </c>
      <c r="I25" s="2" t="s">
        <v>90</v>
      </c>
      <c r="J25" s="2" t="s">
        <v>15</v>
      </c>
      <c r="K25" s="2" t="s">
        <v>90</v>
      </c>
      <c r="L25" s="2" t="s">
        <v>16</v>
      </c>
      <c r="M25" s="2" t="s">
        <v>16</v>
      </c>
      <c r="N25" s="2" t="s">
        <v>90</v>
      </c>
      <c r="O25" s="2" t="s">
        <v>89</v>
      </c>
      <c r="P25" s="2" t="s">
        <v>90</v>
      </c>
      <c r="Q25" s="2" t="s">
        <v>90</v>
      </c>
      <c r="R25" s="2" t="s">
        <v>90</v>
      </c>
      <c r="S25" s="2" t="str">
        <f t="shared" si="1"/>
        <v>Petanca</v>
      </c>
    </row>
    <row r="26" ht="12.75" customHeight="1">
      <c r="A26" s="2" t="s">
        <v>460</v>
      </c>
      <c r="B26" s="2" t="s">
        <v>89</v>
      </c>
      <c r="C26" s="2" t="s">
        <v>90</v>
      </c>
      <c r="D26" s="2" t="s">
        <v>90</v>
      </c>
      <c r="E26" s="2" t="s">
        <v>90</v>
      </c>
      <c r="F26" s="2" t="s">
        <v>15</v>
      </c>
      <c r="G26" s="2" t="s">
        <v>89</v>
      </c>
      <c r="H26" s="2" t="s">
        <v>17</v>
      </c>
      <c r="I26" s="2" t="s">
        <v>16</v>
      </c>
      <c r="J26" s="2" t="s">
        <v>89</v>
      </c>
      <c r="K26" s="2" t="s">
        <v>90</v>
      </c>
      <c r="L26" s="2" t="s">
        <v>17</v>
      </c>
      <c r="M26" s="2" t="s">
        <v>90</v>
      </c>
      <c r="N26" s="2" t="s">
        <v>90</v>
      </c>
      <c r="O26" s="2" t="s">
        <v>90</v>
      </c>
      <c r="P26" s="2" t="s">
        <v>90</v>
      </c>
      <c r="Q26" s="2" t="s">
        <v>90</v>
      </c>
      <c r="R26" s="2" t="s">
        <v>90</v>
      </c>
      <c r="S26" s="2" t="str">
        <f t="shared" si="1"/>
        <v>Alhambra</v>
      </c>
    </row>
    <row r="27" ht="12.75" customHeight="1">
      <c r="A27" s="2" t="s">
        <v>23</v>
      </c>
      <c r="B27" s="2" t="s">
        <v>89</v>
      </c>
      <c r="C27" s="2" t="s">
        <v>90</v>
      </c>
      <c r="D27" s="2" t="s">
        <v>90</v>
      </c>
      <c r="E27" s="2" t="s">
        <v>90</v>
      </c>
      <c r="F27" s="2" t="s">
        <v>15</v>
      </c>
      <c r="G27" s="2" t="s">
        <v>17</v>
      </c>
      <c r="H27" s="2" t="s">
        <v>89</v>
      </c>
      <c r="I27" s="2" t="s">
        <v>16</v>
      </c>
      <c r="J27" s="2" t="s">
        <v>89</v>
      </c>
      <c r="K27" s="2" t="s">
        <v>90</v>
      </c>
      <c r="L27" s="2" t="s">
        <v>89</v>
      </c>
      <c r="M27" s="2" t="s">
        <v>89</v>
      </c>
      <c r="N27" s="2" t="s">
        <v>90</v>
      </c>
      <c r="O27" s="2" t="s">
        <v>90</v>
      </c>
      <c r="P27" s="2" t="s">
        <v>90</v>
      </c>
      <c r="Q27" s="2" t="s">
        <v>90</v>
      </c>
      <c r="R27" s="2" t="s">
        <v>90</v>
      </c>
      <c r="S27" s="2" t="str">
        <f t="shared" si="1"/>
        <v>Frontón</v>
      </c>
    </row>
    <row r="28" ht="12.75" customHeight="1">
      <c r="A28" s="2" t="s">
        <v>23</v>
      </c>
      <c r="B28" s="2" t="s">
        <v>16</v>
      </c>
      <c r="C28" s="2" t="s">
        <v>90</v>
      </c>
      <c r="D28" s="2" t="s">
        <v>90</v>
      </c>
      <c r="E28" s="2" t="s">
        <v>90</v>
      </c>
      <c r="F28" s="2" t="s">
        <v>17</v>
      </c>
      <c r="G28" s="2" t="s">
        <v>89</v>
      </c>
      <c r="H28" s="2" t="s">
        <v>89</v>
      </c>
      <c r="I28" s="2" t="s">
        <v>90</v>
      </c>
      <c r="J28" s="2" t="s">
        <v>89</v>
      </c>
      <c r="K28" s="2" t="s">
        <v>90</v>
      </c>
      <c r="L28" s="2" t="s">
        <v>89</v>
      </c>
      <c r="M28" s="2" t="s">
        <v>15</v>
      </c>
      <c r="N28" s="2" t="s">
        <v>90</v>
      </c>
      <c r="O28" s="2" t="s">
        <v>90</v>
      </c>
      <c r="P28" s="2" t="s">
        <v>90</v>
      </c>
      <c r="Q28" s="2" t="s">
        <v>90</v>
      </c>
      <c r="R28" s="2" t="s">
        <v>90</v>
      </c>
      <c r="S28" s="2" t="str">
        <f t="shared" si="1"/>
        <v>Frontón</v>
      </c>
    </row>
    <row r="29" ht="12.75" customHeight="1">
      <c r="A29" s="2" t="s">
        <v>379</v>
      </c>
      <c r="B29" s="2" t="s">
        <v>89</v>
      </c>
      <c r="C29" s="2" t="s">
        <v>90</v>
      </c>
      <c r="D29" s="2" t="s">
        <v>90</v>
      </c>
      <c r="E29" s="2" t="s">
        <v>90</v>
      </c>
      <c r="F29" s="2" t="s">
        <v>89</v>
      </c>
      <c r="G29" s="2" t="s">
        <v>16</v>
      </c>
      <c r="H29" s="2" t="s">
        <v>16</v>
      </c>
      <c r="I29" s="2" t="s">
        <v>16</v>
      </c>
      <c r="J29" s="2" t="s">
        <v>89</v>
      </c>
      <c r="K29" s="2" t="s">
        <v>90</v>
      </c>
      <c r="L29" s="2" t="s">
        <v>90</v>
      </c>
      <c r="M29" s="2" t="s">
        <v>90</v>
      </c>
      <c r="N29" s="2" t="s">
        <v>90</v>
      </c>
      <c r="O29" s="2" t="s">
        <v>90</v>
      </c>
      <c r="P29" s="2" t="s">
        <v>90</v>
      </c>
      <c r="Q29" s="2" t="s">
        <v>90</v>
      </c>
      <c r="R29" s="2" t="s">
        <v>90</v>
      </c>
      <c r="S29" s="2" t="str">
        <f t="shared" si="1"/>
        <v>Código secreto</v>
      </c>
    </row>
    <row r="30" ht="12.75" customHeight="1">
      <c r="A30" s="2" t="s">
        <v>33</v>
      </c>
      <c r="B30" s="2" t="s">
        <v>15</v>
      </c>
      <c r="C30" s="2" t="s">
        <v>90</v>
      </c>
      <c r="D30" s="2" t="s">
        <v>90</v>
      </c>
      <c r="E30" s="2" t="s">
        <v>90</v>
      </c>
      <c r="F30" s="2" t="s">
        <v>17</v>
      </c>
      <c r="G30" s="2" t="s">
        <v>90</v>
      </c>
      <c r="H30" s="2" t="s">
        <v>89</v>
      </c>
      <c r="I30" s="2" t="s">
        <v>16</v>
      </c>
      <c r="J30" s="2" t="s">
        <v>89</v>
      </c>
      <c r="K30" s="2" t="s">
        <v>90</v>
      </c>
      <c r="L30" s="2" t="s">
        <v>89</v>
      </c>
      <c r="M30" s="2" t="s">
        <v>90</v>
      </c>
      <c r="N30" s="2" t="s">
        <v>90</v>
      </c>
      <c r="O30" s="2" t="s">
        <v>90</v>
      </c>
      <c r="P30" s="2" t="s">
        <v>90</v>
      </c>
      <c r="Q30" s="2" t="s">
        <v>90</v>
      </c>
      <c r="R30" s="2" t="s">
        <v>90</v>
      </c>
      <c r="S30" s="2" t="str">
        <f t="shared" si="1"/>
        <v>Burro</v>
      </c>
    </row>
    <row r="31" ht="12.75" customHeight="1">
      <c r="A31" s="2" t="s">
        <v>33</v>
      </c>
      <c r="B31" s="2" t="s">
        <v>16</v>
      </c>
      <c r="C31" s="2" t="s">
        <v>90</v>
      </c>
      <c r="D31" s="2" t="s">
        <v>90</v>
      </c>
      <c r="E31" s="2" t="s">
        <v>90</v>
      </c>
      <c r="F31" s="2" t="s">
        <v>15</v>
      </c>
      <c r="G31" s="2" t="s">
        <v>90</v>
      </c>
      <c r="H31" s="2" t="s">
        <v>89</v>
      </c>
      <c r="I31" s="2" t="s">
        <v>17</v>
      </c>
      <c r="J31" s="2" t="s">
        <v>89</v>
      </c>
      <c r="K31" s="2" t="s">
        <v>90</v>
      </c>
      <c r="L31" s="2" t="s">
        <v>89</v>
      </c>
      <c r="M31" s="2" t="s">
        <v>90</v>
      </c>
      <c r="N31" s="2" t="s">
        <v>90</v>
      </c>
      <c r="O31" s="2" t="s">
        <v>90</v>
      </c>
      <c r="P31" s="2" t="s">
        <v>90</v>
      </c>
      <c r="Q31" s="2" t="s">
        <v>90</v>
      </c>
      <c r="R31" s="2" t="s">
        <v>90</v>
      </c>
      <c r="S31" s="2" t="str">
        <f t="shared" si="1"/>
        <v>Burro</v>
      </c>
    </row>
    <row r="32" ht="12.75" customHeight="1">
      <c r="A32" s="2" t="s">
        <v>461</v>
      </c>
      <c r="B32" s="2" t="s">
        <v>16</v>
      </c>
      <c r="C32" s="2" t="s">
        <v>90</v>
      </c>
      <c r="D32" s="2" t="s">
        <v>90</v>
      </c>
      <c r="E32" s="2" t="s">
        <v>90</v>
      </c>
      <c r="F32" s="2" t="s">
        <v>16</v>
      </c>
      <c r="G32" s="2" t="s">
        <v>89</v>
      </c>
      <c r="H32" s="2" t="s">
        <v>89</v>
      </c>
      <c r="I32" s="2" t="s">
        <v>89</v>
      </c>
      <c r="J32" s="2" t="s">
        <v>16</v>
      </c>
      <c r="K32" s="2" t="s">
        <v>90</v>
      </c>
      <c r="L32" s="2" t="s">
        <v>89</v>
      </c>
      <c r="M32" s="2" t="s">
        <v>16</v>
      </c>
      <c r="N32" s="2" t="s">
        <v>90</v>
      </c>
      <c r="O32" s="2" t="s">
        <v>90</v>
      </c>
      <c r="P32" s="2" t="s">
        <v>90</v>
      </c>
      <c r="Q32" s="2" t="s">
        <v>90</v>
      </c>
      <c r="R32" s="2" t="s">
        <v>90</v>
      </c>
      <c r="S32" s="2" t="str">
        <f t="shared" si="1"/>
        <v>Cementerio (quema)</v>
      </c>
    </row>
    <row r="33" ht="12.75" customHeight="1">
      <c r="A33" s="2" t="s">
        <v>39</v>
      </c>
      <c r="B33" s="2" t="s">
        <v>89</v>
      </c>
      <c r="C33" s="2" t="s">
        <v>90</v>
      </c>
      <c r="D33" s="2" t="s">
        <v>90</v>
      </c>
      <c r="E33" s="2" t="s">
        <v>90</v>
      </c>
      <c r="F33" s="2" t="s">
        <v>16</v>
      </c>
      <c r="G33" s="2" t="s">
        <v>89</v>
      </c>
      <c r="H33" s="2" t="s">
        <v>89</v>
      </c>
      <c r="I33" s="2" t="s">
        <v>89</v>
      </c>
      <c r="J33" s="2" t="s">
        <v>16</v>
      </c>
      <c r="K33" s="2" t="s">
        <v>90</v>
      </c>
      <c r="L33" s="2" t="s">
        <v>89</v>
      </c>
      <c r="M33" s="2" t="s">
        <v>16</v>
      </c>
      <c r="N33" s="2" t="s">
        <v>90</v>
      </c>
      <c r="O33" s="2" t="s">
        <v>90</v>
      </c>
      <c r="P33" s="2" t="s">
        <v>90</v>
      </c>
      <c r="Q33" s="2" t="s">
        <v>90</v>
      </c>
      <c r="R33" s="2" t="s">
        <v>90</v>
      </c>
      <c r="S33" s="2" t="str">
        <f t="shared" si="1"/>
        <v>Pañuelo</v>
      </c>
    </row>
    <row r="34" ht="12.75" customHeight="1">
      <c r="A34" s="2" t="s">
        <v>462</v>
      </c>
      <c r="B34" s="2" t="s">
        <v>89</v>
      </c>
      <c r="C34" s="2" t="s">
        <v>90</v>
      </c>
      <c r="D34" s="2" t="s">
        <v>90</v>
      </c>
      <c r="E34" s="2" t="s">
        <v>90</v>
      </c>
      <c r="F34" s="2" t="s">
        <v>89</v>
      </c>
      <c r="G34" s="2" t="s">
        <v>16</v>
      </c>
      <c r="H34" s="2" t="s">
        <v>16</v>
      </c>
      <c r="I34" s="2" t="s">
        <v>16</v>
      </c>
      <c r="J34" s="2" t="s">
        <v>89</v>
      </c>
      <c r="K34" s="2" t="s">
        <v>90</v>
      </c>
      <c r="L34" s="2" t="s">
        <v>16</v>
      </c>
      <c r="M34" s="2" t="s">
        <v>89</v>
      </c>
      <c r="N34" s="2" t="s">
        <v>90</v>
      </c>
      <c r="O34" s="2" t="s">
        <v>90</v>
      </c>
      <c r="P34" s="2" t="s">
        <v>90</v>
      </c>
      <c r="Q34" s="2" t="s">
        <v>90</v>
      </c>
      <c r="R34" s="2" t="s">
        <v>90</v>
      </c>
      <c r="S34" s="2" t="str">
        <f t="shared" si="1"/>
        <v>Times yo</v>
      </c>
    </row>
    <row r="35" ht="12.75" customHeight="1">
      <c r="A35" s="2" t="s">
        <v>463</v>
      </c>
      <c r="B35" s="2" t="s">
        <v>89</v>
      </c>
      <c r="C35" s="2" t="s">
        <v>90</v>
      </c>
      <c r="D35" s="2" t="s">
        <v>90</v>
      </c>
      <c r="E35" s="2" t="s">
        <v>90</v>
      </c>
      <c r="F35" s="2" t="s">
        <v>89</v>
      </c>
      <c r="G35" s="2" t="s">
        <v>16</v>
      </c>
      <c r="H35" s="2" t="s">
        <v>89</v>
      </c>
      <c r="I35" s="2" t="s">
        <v>89</v>
      </c>
      <c r="J35" s="2" t="s">
        <v>89</v>
      </c>
      <c r="K35" s="2" t="s">
        <v>90</v>
      </c>
      <c r="L35" s="2" t="s">
        <v>16</v>
      </c>
      <c r="M35" s="2" t="s">
        <v>16</v>
      </c>
      <c r="N35" s="2" t="s">
        <v>90</v>
      </c>
      <c r="O35" s="2" t="s">
        <v>90</v>
      </c>
      <c r="P35" s="2" t="s">
        <v>90</v>
      </c>
      <c r="Q35" s="2" t="s">
        <v>90</v>
      </c>
      <c r="R35" s="2" t="s">
        <v>90</v>
      </c>
      <c r="S35" s="2" t="str">
        <f t="shared" si="1"/>
        <v>Just one</v>
      </c>
    </row>
    <row r="36" ht="12.75" customHeight="1">
      <c r="A36" s="2" t="s">
        <v>464</v>
      </c>
      <c r="B36" s="2" t="s">
        <v>17</v>
      </c>
      <c r="C36" s="2" t="s">
        <v>90</v>
      </c>
      <c r="D36" s="2" t="s">
        <v>90</v>
      </c>
      <c r="E36" s="2" t="s">
        <v>90</v>
      </c>
      <c r="F36" s="2" t="s">
        <v>16</v>
      </c>
      <c r="G36" s="2" t="s">
        <v>90</v>
      </c>
      <c r="H36" s="2" t="s">
        <v>89</v>
      </c>
      <c r="I36" s="2" t="s">
        <v>15</v>
      </c>
      <c r="J36" s="2" t="s">
        <v>16</v>
      </c>
      <c r="K36" s="2" t="s">
        <v>90</v>
      </c>
      <c r="L36" s="2" t="s">
        <v>89</v>
      </c>
      <c r="M36" s="2" t="s">
        <v>90</v>
      </c>
      <c r="N36" s="2" t="s">
        <v>90</v>
      </c>
      <c r="O36" s="2" t="s">
        <v>90</v>
      </c>
      <c r="P36" s="2" t="s">
        <v>90</v>
      </c>
      <c r="Q36" s="2" t="s">
        <v>90</v>
      </c>
      <c r="R36" s="2" t="s">
        <v>90</v>
      </c>
      <c r="S36" s="2" t="str">
        <f t="shared" si="1"/>
        <v>Salendor</v>
      </c>
    </row>
    <row r="37" ht="12.75" customHeight="1">
      <c r="A37" s="2" t="s">
        <v>465</v>
      </c>
      <c r="B37" s="2" t="s">
        <v>16</v>
      </c>
      <c r="C37" s="2" t="s">
        <v>90</v>
      </c>
      <c r="D37" s="2" t="s">
        <v>90</v>
      </c>
      <c r="E37" s="2" t="s">
        <v>90</v>
      </c>
      <c r="F37" s="2" t="s">
        <v>15</v>
      </c>
      <c r="G37" s="2" t="s">
        <v>90</v>
      </c>
      <c r="H37" s="2" t="s">
        <v>89</v>
      </c>
      <c r="I37" s="2" t="s">
        <v>17</v>
      </c>
      <c r="J37" s="2" t="s">
        <v>15</v>
      </c>
      <c r="K37" s="2" t="s">
        <v>90</v>
      </c>
      <c r="L37" s="2" t="s">
        <v>89</v>
      </c>
      <c r="M37" s="2" t="s">
        <v>90</v>
      </c>
      <c r="N37" s="2" t="s">
        <v>90</v>
      </c>
      <c r="O37" s="2" t="s">
        <v>90</v>
      </c>
      <c r="P37" s="2" t="s">
        <v>90</v>
      </c>
      <c r="Q37" s="2" t="s">
        <v>90</v>
      </c>
      <c r="R37" s="2" t="s">
        <v>90</v>
      </c>
      <c r="S37" s="2" t="str">
        <f t="shared" si="1"/>
        <v>Azulejos</v>
      </c>
    </row>
    <row r="38" ht="12.75" customHeight="1">
      <c r="A38" s="2" t="s">
        <v>457</v>
      </c>
      <c r="B38" s="2" t="s">
        <v>90</v>
      </c>
      <c r="C38" s="2" t="s">
        <v>90</v>
      </c>
      <c r="D38" s="2" t="s">
        <v>90</v>
      </c>
      <c r="E38" s="2" t="s">
        <v>90</v>
      </c>
      <c r="F38" s="2" t="s">
        <v>90</v>
      </c>
      <c r="G38" s="2" t="s">
        <v>90</v>
      </c>
      <c r="H38" s="2" t="s">
        <v>90</v>
      </c>
      <c r="I38" s="2" t="s">
        <v>17</v>
      </c>
      <c r="J38" s="2" t="s">
        <v>90</v>
      </c>
      <c r="K38" s="2" t="s">
        <v>90</v>
      </c>
      <c r="L38" s="2" t="s">
        <v>16</v>
      </c>
      <c r="M38" s="2" t="s">
        <v>90</v>
      </c>
      <c r="N38" s="2" t="s">
        <v>90</v>
      </c>
      <c r="O38" s="2" t="s">
        <v>15</v>
      </c>
      <c r="P38" s="2" t="s">
        <v>90</v>
      </c>
      <c r="Q38" s="2" t="s">
        <v>90</v>
      </c>
      <c r="R38" s="2" t="s">
        <v>90</v>
      </c>
      <c r="S38" s="2" t="str">
        <f t="shared" si="1"/>
        <v>Patchworld</v>
      </c>
    </row>
    <row r="39" ht="12.75" customHeight="1">
      <c r="A39" s="2" t="s">
        <v>466</v>
      </c>
      <c r="B39" s="2" t="s">
        <v>90</v>
      </c>
      <c r="C39" s="2" t="s">
        <v>90</v>
      </c>
      <c r="D39" s="2" t="s">
        <v>90</v>
      </c>
      <c r="E39" s="2" t="s">
        <v>90</v>
      </c>
      <c r="F39" s="2" t="s">
        <v>90</v>
      </c>
      <c r="G39" s="2" t="s">
        <v>90</v>
      </c>
      <c r="H39" s="2" t="s">
        <v>90</v>
      </c>
      <c r="I39" s="2" t="s">
        <v>17</v>
      </c>
      <c r="J39" s="2" t="s">
        <v>90</v>
      </c>
      <c r="K39" s="2" t="s">
        <v>90</v>
      </c>
      <c r="L39" s="2" t="s">
        <v>16</v>
      </c>
      <c r="M39" s="2" t="s">
        <v>15</v>
      </c>
      <c r="N39" s="2" t="s">
        <v>90</v>
      </c>
      <c r="O39" s="2" t="s">
        <v>90</v>
      </c>
      <c r="P39" s="2" t="s">
        <v>90</v>
      </c>
      <c r="Q39" s="2" t="s">
        <v>90</v>
      </c>
      <c r="R39" s="2" t="s">
        <v>90</v>
      </c>
      <c r="S39" s="2" t="str">
        <f t="shared" si="1"/>
        <v>Encestar Badminton</v>
      </c>
    </row>
    <row r="40" ht="12.75" customHeight="1">
      <c r="A40" s="2" t="s">
        <v>29</v>
      </c>
      <c r="B40" s="2" t="s">
        <v>15</v>
      </c>
      <c r="C40" s="2" t="s">
        <v>90</v>
      </c>
      <c r="D40" s="2" t="s">
        <v>90</v>
      </c>
      <c r="E40" s="2" t="s">
        <v>90</v>
      </c>
      <c r="F40" s="2" t="s">
        <v>16</v>
      </c>
      <c r="G40" s="2" t="s">
        <v>90</v>
      </c>
      <c r="H40" s="2" t="s">
        <v>90</v>
      </c>
      <c r="I40" s="2" t="s">
        <v>16</v>
      </c>
      <c r="J40" s="2" t="s">
        <v>89</v>
      </c>
      <c r="K40" s="2" t="s">
        <v>90</v>
      </c>
      <c r="L40" s="2" t="s">
        <v>90</v>
      </c>
      <c r="M40" s="2" t="s">
        <v>15</v>
      </c>
      <c r="N40" s="2" t="s">
        <v>90</v>
      </c>
      <c r="O40" s="2" t="s">
        <v>90</v>
      </c>
      <c r="P40" s="2" t="s">
        <v>90</v>
      </c>
      <c r="Q40" s="2" t="s">
        <v>90</v>
      </c>
      <c r="R40" s="2" t="s">
        <v>90</v>
      </c>
      <c r="S40" s="2" t="str">
        <f t="shared" si="1"/>
        <v>Baloncesto</v>
      </c>
    </row>
    <row r="41" ht="12.75" customHeight="1">
      <c r="A41" s="2" t="s">
        <v>467</v>
      </c>
      <c r="B41" s="2" t="s">
        <v>16</v>
      </c>
      <c r="C41" s="2" t="s">
        <v>90</v>
      </c>
      <c r="D41" s="2" t="s">
        <v>90</v>
      </c>
      <c r="E41" s="2" t="s">
        <v>90</v>
      </c>
      <c r="F41" s="2" t="s">
        <v>17</v>
      </c>
      <c r="G41" s="2" t="s">
        <v>90</v>
      </c>
      <c r="H41" s="2" t="s">
        <v>89</v>
      </c>
      <c r="I41" s="2" t="s">
        <v>17</v>
      </c>
      <c r="J41" s="2" t="s">
        <v>90</v>
      </c>
      <c r="K41" s="2" t="s">
        <v>90</v>
      </c>
      <c r="L41" s="2" t="s">
        <v>89</v>
      </c>
      <c r="M41" s="2" t="s">
        <v>15</v>
      </c>
      <c r="N41" s="2" t="s">
        <v>90</v>
      </c>
      <c r="O41" s="2" t="s">
        <v>90</v>
      </c>
      <c r="P41" s="2" t="s">
        <v>90</v>
      </c>
      <c r="Q41" s="2" t="s">
        <v>90</v>
      </c>
      <c r="R41" s="2" t="s">
        <v>90</v>
      </c>
      <c r="S41" s="2" t="str">
        <f t="shared" si="1"/>
        <v>Ping-pong</v>
      </c>
    </row>
    <row r="42" ht="12.75" customHeight="1">
      <c r="A42" s="2" t="s">
        <v>23</v>
      </c>
      <c r="B42" s="2" t="s">
        <v>15</v>
      </c>
      <c r="C42" s="2" t="s">
        <v>90</v>
      </c>
      <c r="D42" s="2" t="s">
        <v>90</v>
      </c>
      <c r="E42" s="2" t="s">
        <v>90</v>
      </c>
      <c r="F42" s="2" t="s">
        <v>17</v>
      </c>
      <c r="G42" s="2" t="s">
        <v>16</v>
      </c>
      <c r="H42" s="2" t="s">
        <v>90</v>
      </c>
      <c r="I42" s="2" t="s">
        <v>16</v>
      </c>
      <c r="J42" s="2" t="s">
        <v>15</v>
      </c>
      <c r="K42" s="2" t="s">
        <v>90</v>
      </c>
      <c r="L42" s="2" t="s">
        <v>90</v>
      </c>
      <c r="M42" s="2" t="s">
        <v>17</v>
      </c>
      <c r="N42" s="2" t="s">
        <v>90</v>
      </c>
      <c r="O42" s="2" t="s">
        <v>90</v>
      </c>
      <c r="P42" s="2" t="s">
        <v>90</v>
      </c>
      <c r="Q42" s="2" t="s">
        <v>90</v>
      </c>
      <c r="R42" s="2" t="s">
        <v>90</v>
      </c>
      <c r="S42" s="2" t="str">
        <f t="shared" si="1"/>
        <v>Frontón</v>
      </c>
    </row>
    <row r="43" ht="12.75" customHeight="1">
      <c r="A43" s="2" t="s">
        <v>23</v>
      </c>
      <c r="B43" s="2" t="s">
        <v>17</v>
      </c>
      <c r="C43" s="2" t="s">
        <v>90</v>
      </c>
      <c r="D43" s="2" t="s">
        <v>90</v>
      </c>
      <c r="E43" s="2" t="s">
        <v>90</v>
      </c>
      <c r="F43" s="2" t="s">
        <v>15</v>
      </c>
      <c r="G43" s="2" t="s">
        <v>16</v>
      </c>
      <c r="H43" s="2" t="s">
        <v>90</v>
      </c>
      <c r="I43" s="2" t="s">
        <v>16</v>
      </c>
      <c r="J43" s="2" t="s">
        <v>17</v>
      </c>
      <c r="K43" s="2" t="s">
        <v>90</v>
      </c>
      <c r="L43" s="2" t="s">
        <v>90</v>
      </c>
      <c r="M43" s="2" t="s">
        <v>15</v>
      </c>
      <c r="N43" s="2" t="s">
        <v>90</v>
      </c>
      <c r="O43" s="2" t="s">
        <v>90</v>
      </c>
      <c r="P43" s="2" t="s">
        <v>90</v>
      </c>
      <c r="Q43" s="2" t="s">
        <v>90</v>
      </c>
      <c r="R43" s="2" t="s">
        <v>90</v>
      </c>
      <c r="S43" s="2" t="str">
        <f t="shared" si="1"/>
        <v>Frontón</v>
      </c>
    </row>
    <row r="44" ht="12.75" customHeight="1">
      <c r="A44" s="2" t="s">
        <v>389</v>
      </c>
      <c r="B44" s="2" t="s">
        <v>89</v>
      </c>
      <c r="C44" s="2" t="s">
        <v>90</v>
      </c>
      <c r="D44" s="2" t="s">
        <v>90</v>
      </c>
      <c r="E44" s="2" t="s">
        <v>90</v>
      </c>
      <c r="F44" s="2" t="s">
        <v>17</v>
      </c>
      <c r="G44" s="2" t="s">
        <v>89</v>
      </c>
      <c r="H44" s="2" t="s">
        <v>16</v>
      </c>
      <c r="I44" s="2" t="s">
        <v>15</v>
      </c>
      <c r="J44" s="2" t="s">
        <v>17</v>
      </c>
      <c r="K44" s="2" t="s">
        <v>90</v>
      </c>
      <c r="L44" s="2" t="s">
        <v>89</v>
      </c>
      <c r="M44" s="2" t="s">
        <v>89</v>
      </c>
      <c r="N44" s="2" t="s">
        <v>90</v>
      </c>
      <c r="O44" s="2" t="s">
        <v>90</v>
      </c>
      <c r="P44" s="2" t="s">
        <v>90</v>
      </c>
      <c r="Q44" s="2" t="s">
        <v>90</v>
      </c>
      <c r="R44" s="2" t="s">
        <v>90</v>
      </c>
      <c r="S44" s="2" t="str">
        <f t="shared" si="1"/>
        <v>Mentiroso</v>
      </c>
    </row>
    <row r="45" ht="12.75" customHeight="1">
      <c r="A45" s="2" t="s">
        <v>44</v>
      </c>
      <c r="B45" s="2" t="s">
        <v>89</v>
      </c>
      <c r="C45" s="2" t="s">
        <v>90</v>
      </c>
      <c r="D45" s="2" t="s">
        <v>90</v>
      </c>
      <c r="E45" s="2" t="s">
        <v>90</v>
      </c>
      <c r="F45" s="2" t="s">
        <v>16</v>
      </c>
      <c r="G45" s="2" t="s">
        <v>89</v>
      </c>
      <c r="H45" s="2" t="s">
        <v>89</v>
      </c>
      <c r="I45" s="2" t="s">
        <v>16</v>
      </c>
      <c r="J45" s="2" t="s">
        <v>16</v>
      </c>
      <c r="K45" s="2" t="s">
        <v>90</v>
      </c>
      <c r="L45" s="2" t="s">
        <v>89</v>
      </c>
      <c r="M45" s="2" t="s">
        <v>89</v>
      </c>
      <c r="N45" s="2" t="s">
        <v>90</v>
      </c>
      <c r="O45" s="2" t="s">
        <v>89</v>
      </c>
      <c r="P45" s="2" t="s">
        <v>90</v>
      </c>
      <c r="Q45" s="2" t="s">
        <v>90</v>
      </c>
      <c r="R45" s="2" t="s">
        <v>90</v>
      </c>
      <c r="S45" s="2" t="str">
        <f t="shared" si="1"/>
        <v>Criquet</v>
      </c>
    </row>
    <row r="46" ht="12.75" customHeight="1">
      <c r="A46" s="2" t="s">
        <v>468</v>
      </c>
      <c r="B46" s="2" t="s">
        <v>89</v>
      </c>
      <c r="C46" s="2" t="s">
        <v>90</v>
      </c>
      <c r="D46" s="2" t="s">
        <v>90</v>
      </c>
      <c r="E46" s="2" t="s">
        <v>90</v>
      </c>
      <c r="F46" s="2" t="s">
        <v>16</v>
      </c>
      <c r="G46" s="2" t="s">
        <v>90</v>
      </c>
      <c r="H46" s="2" t="s">
        <v>17</v>
      </c>
      <c r="I46" s="2" t="s">
        <v>15</v>
      </c>
      <c r="J46" s="2" t="s">
        <v>90</v>
      </c>
      <c r="K46" s="2" t="s">
        <v>90</v>
      </c>
      <c r="L46" s="2" t="s">
        <v>90</v>
      </c>
      <c r="M46" s="2" t="s">
        <v>90</v>
      </c>
      <c r="N46" s="2" t="s">
        <v>90</v>
      </c>
      <c r="O46" s="2" t="s">
        <v>90</v>
      </c>
      <c r="P46" s="2" t="s">
        <v>90</v>
      </c>
      <c r="Q46" s="2" t="s">
        <v>90</v>
      </c>
      <c r="R46" s="2" t="s">
        <v>90</v>
      </c>
      <c r="S46" s="2" t="str">
        <f t="shared" si="1"/>
        <v>Batalla por Rokugan</v>
      </c>
    </row>
    <row r="47" ht="12.75" customHeight="1">
      <c r="A47" s="2" t="s">
        <v>386</v>
      </c>
      <c r="B47" s="2" t="s">
        <v>90</v>
      </c>
      <c r="C47" s="2" t="s">
        <v>90</v>
      </c>
      <c r="D47" s="2" t="s">
        <v>90</v>
      </c>
      <c r="E47" s="2" t="s">
        <v>90</v>
      </c>
      <c r="F47" s="2" t="s">
        <v>16</v>
      </c>
      <c r="G47" s="2" t="s">
        <v>17</v>
      </c>
      <c r="H47" s="2" t="s">
        <v>89</v>
      </c>
      <c r="I47" s="2" t="s">
        <v>15</v>
      </c>
      <c r="J47" s="2" t="s">
        <v>89</v>
      </c>
      <c r="K47" s="2" t="s">
        <v>90</v>
      </c>
      <c r="L47" s="2" t="s">
        <v>90</v>
      </c>
      <c r="M47" s="2" t="s">
        <v>90</v>
      </c>
      <c r="N47" s="2" t="s">
        <v>90</v>
      </c>
      <c r="O47" s="2" t="s">
        <v>90</v>
      </c>
      <c r="P47" s="2" t="s">
        <v>90</v>
      </c>
      <c r="Q47" s="2" t="s">
        <v>90</v>
      </c>
      <c r="R47" s="2" t="s">
        <v>90</v>
      </c>
      <c r="S47" s="2" t="str">
        <f t="shared" si="1"/>
        <v>Pulsos</v>
      </c>
    </row>
    <row r="48" ht="12.75" customHeight="1">
      <c r="A48" s="2" t="s">
        <v>469</v>
      </c>
      <c r="B48" s="2" t="s">
        <v>17</v>
      </c>
      <c r="C48" s="2" t="s">
        <v>90</v>
      </c>
      <c r="D48" s="2" t="s">
        <v>90</v>
      </c>
      <c r="E48" s="2" t="s">
        <v>90</v>
      </c>
      <c r="F48" s="2" t="s">
        <v>16</v>
      </c>
      <c r="G48" s="2" t="s">
        <v>90</v>
      </c>
      <c r="H48" s="2" t="s">
        <v>15</v>
      </c>
      <c r="I48" s="2" t="s">
        <v>89</v>
      </c>
      <c r="J48" s="2" t="s">
        <v>17</v>
      </c>
      <c r="K48" s="2" t="s">
        <v>90</v>
      </c>
      <c r="L48" s="2" t="s">
        <v>90</v>
      </c>
      <c r="M48" s="2" t="s">
        <v>90</v>
      </c>
      <c r="N48" s="2" t="s">
        <v>90</v>
      </c>
      <c r="O48" s="2" t="s">
        <v>90</v>
      </c>
      <c r="P48" s="2" t="s">
        <v>90</v>
      </c>
      <c r="Q48" s="2" t="s">
        <v>90</v>
      </c>
      <c r="R48" s="2" t="s">
        <v>90</v>
      </c>
      <c r="S48" s="2" t="str">
        <f t="shared" si="1"/>
        <v>Scise</v>
      </c>
    </row>
    <row r="49" ht="12.75" customHeight="1">
      <c r="A49" s="2" t="s">
        <v>31</v>
      </c>
      <c r="B49" s="2" t="s">
        <v>17</v>
      </c>
      <c r="C49" s="2" t="s">
        <v>90</v>
      </c>
      <c r="D49" s="2" t="s">
        <v>90</v>
      </c>
      <c r="E49" s="2" t="s">
        <v>90</v>
      </c>
      <c r="F49" s="2" t="s">
        <v>89</v>
      </c>
      <c r="G49" s="2" t="s">
        <v>89</v>
      </c>
      <c r="H49" s="2" t="s">
        <v>89</v>
      </c>
      <c r="I49" s="2" t="s">
        <v>16</v>
      </c>
      <c r="J49" s="2" t="s">
        <v>89</v>
      </c>
      <c r="K49" s="2" t="s">
        <v>90</v>
      </c>
      <c r="L49" s="2" t="s">
        <v>89</v>
      </c>
      <c r="M49" s="2" t="s">
        <v>16</v>
      </c>
      <c r="N49" s="2" t="s">
        <v>90</v>
      </c>
      <c r="O49" s="2" t="s">
        <v>90</v>
      </c>
      <c r="P49" s="2" t="s">
        <v>90</v>
      </c>
      <c r="Q49" s="2" t="s">
        <v>90</v>
      </c>
      <c r="R49" s="2" t="s">
        <v>90</v>
      </c>
      <c r="S49" s="2" t="str">
        <f t="shared" si="1"/>
        <v>Dardos</v>
      </c>
    </row>
    <row r="50" ht="12.75" customHeight="1">
      <c r="A50" s="2" t="s">
        <v>92</v>
      </c>
      <c r="B50" s="2" t="s">
        <v>89</v>
      </c>
      <c r="C50" s="2" t="s">
        <v>90</v>
      </c>
      <c r="D50" s="2" t="s">
        <v>90</v>
      </c>
      <c r="E50" s="2" t="s">
        <v>90</v>
      </c>
      <c r="F50" s="2" t="s">
        <v>16</v>
      </c>
      <c r="G50" s="2" t="s">
        <v>90</v>
      </c>
      <c r="H50" s="2" t="s">
        <v>15</v>
      </c>
      <c r="I50" s="2" t="s">
        <v>89</v>
      </c>
      <c r="J50" s="2" t="s">
        <v>17</v>
      </c>
      <c r="K50" s="2" t="s">
        <v>90</v>
      </c>
      <c r="L50" s="2" t="s">
        <v>90</v>
      </c>
      <c r="M50" s="2" t="s">
        <v>90</v>
      </c>
      <c r="N50" s="2" t="s">
        <v>90</v>
      </c>
      <c r="O50" s="2" t="s">
        <v>90</v>
      </c>
      <c r="P50" s="2" t="s">
        <v>90</v>
      </c>
      <c r="Q50" s="2" t="s">
        <v>90</v>
      </c>
      <c r="R50" s="2" t="s">
        <v>90</v>
      </c>
      <c r="S50" s="2" t="str">
        <f t="shared" si="1"/>
        <v>Mario Kart</v>
      </c>
    </row>
    <row r="51" ht="12.75" customHeight="1">
      <c r="A51" s="9" t="s">
        <v>91</v>
      </c>
      <c r="B51" s="2" t="s">
        <v>15</v>
      </c>
      <c r="C51" s="2" t="s">
        <v>90</v>
      </c>
      <c r="D51" s="2" t="s">
        <v>90</v>
      </c>
      <c r="E51" s="2" t="s">
        <v>90</v>
      </c>
      <c r="F51" s="2" t="s">
        <v>16</v>
      </c>
      <c r="G51" s="2" t="s">
        <v>89</v>
      </c>
      <c r="H51" s="2" t="s">
        <v>15</v>
      </c>
      <c r="I51" s="2" t="s">
        <v>15</v>
      </c>
      <c r="J51" s="2" t="s">
        <v>16</v>
      </c>
      <c r="K51" s="2" t="s">
        <v>90</v>
      </c>
      <c r="L51" s="2" t="s">
        <v>15</v>
      </c>
      <c r="M51" s="2" t="s">
        <v>90</v>
      </c>
      <c r="N51" s="2" t="s">
        <v>90</v>
      </c>
      <c r="O51" s="2" t="s">
        <v>90</v>
      </c>
      <c r="P51" s="2" t="s">
        <v>90</v>
      </c>
      <c r="Q51" s="2" t="s">
        <v>90</v>
      </c>
      <c r="R51" s="2" t="s">
        <v>90</v>
      </c>
      <c r="S51" s="2" t="str">
        <f t="shared" si="1"/>
        <v>Catán</v>
      </c>
    </row>
    <row r="52" ht="12.75" customHeight="1">
      <c r="A52" s="2" t="s">
        <v>444</v>
      </c>
      <c r="B52" s="2" t="s">
        <v>89</v>
      </c>
      <c r="C52" s="2" t="s">
        <v>90</v>
      </c>
      <c r="D52" s="2" t="s">
        <v>90</v>
      </c>
      <c r="E52" s="2" t="s">
        <v>90</v>
      </c>
      <c r="F52" s="2" t="s">
        <v>16</v>
      </c>
      <c r="G52" s="2" t="s">
        <v>90</v>
      </c>
      <c r="H52" s="2" t="s">
        <v>17</v>
      </c>
      <c r="I52" s="2" t="s">
        <v>15</v>
      </c>
      <c r="J52" s="2" t="s">
        <v>90</v>
      </c>
      <c r="K52" s="2" t="s">
        <v>90</v>
      </c>
      <c r="L52" s="2" t="s">
        <v>90</v>
      </c>
      <c r="M52" s="2" t="s">
        <v>90</v>
      </c>
      <c r="N52" s="2" t="s">
        <v>90</v>
      </c>
      <c r="O52" s="2" t="s">
        <v>90</v>
      </c>
      <c r="P52" s="2" t="s">
        <v>90</v>
      </c>
      <c r="Q52" s="2" t="s">
        <v>90</v>
      </c>
      <c r="R52" s="2" t="s">
        <v>90</v>
      </c>
      <c r="S52" s="2" t="str">
        <f t="shared" si="1"/>
        <v>Kingdomino</v>
      </c>
    </row>
    <row r="53" ht="12.75" customHeight="1">
      <c r="A53" s="2" t="s">
        <v>92</v>
      </c>
      <c r="B53" s="2" t="s">
        <v>90</v>
      </c>
      <c r="C53" s="2" t="s">
        <v>90</v>
      </c>
      <c r="D53" s="2" t="s">
        <v>90</v>
      </c>
      <c r="E53" s="2" t="s">
        <v>90</v>
      </c>
      <c r="F53" s="2" t="s">
        <v>16</v>
      </c>
      <c r="G53" s="2" t="s">
        <v>90</v>
      </c>
      <c r="H53" s="2" t="s">
        <v>17</v>
      </c>
      <c r="I53" s="2" t="s">
        <v>89</v>
      </c>
      <c r="J53" s="2" t="s">
        <v>15</v>
      </c>
      <c r="K53" s="2" t="s">
        <v>90</v>
      </c>
      <c r="L53" s="2" t="s">
        <v>90</v>
      </c>
      <c r="M53" s="2" t="s">
        <v>90</v>
      </c>
      <c r="N53" s="2" t="s">
        <v>90</v>
      </c>
      <c r="O53" s="2" t="s">
        <v>90</v>
      </c>
      <c r="P53" s="2" t="s">
        <v>90</v>
      </c>
      <c r="Q53" s="2" t="s">
        <v>90</v>
      </c>
      <c r="R53" s="2" t="s">
        <v>90</v>
      </c>
      <c r="S53" s="2" t="str">
        <f t="shared" si="1"/>
        <v>Mario Kart</v>
      </c>
    </row>
    <row r="54" ht="12.75" customHeight="1">
      <c r="A54" s="2" t="s">
        <v>470</v>
      </c>
      <c r="B54" s="2" t="s">
        <v>90</v>
      </c>
      <c r="C54" s="2" t="s">
        <v>90</v>
      </c>
      <c r="D54" s="2" t="s">
        <v>90</v>
      </c>
      <c r="E54" s="2" t="s">
        <v>90</v>
      </c>
      <c r="F54" s="2" t="s">
        <v>15</v>
      </c>
      <c r="G54" s="2" t="s">
        <v>90</v>
      </c>
      <c r="H54" s="2" t="s">
        <v>16</v>
      </c>
      <c r="I54" s="2" t="s">
        <v>89</v>
      </c>
      <c r="J54" s="2" t="s">
        <v>17</v>
      </c>
      <c r="K54" s="2" t="s">
        <v>90</v>
      </c>
      <c r="L54" s="2" t="s">
        <v>90</v>
      </c>
      <c r="M54" s="2" t="s">
        <v>90</v>
      </c>
      <c r="N54" s="2" t="s">
        <v>90</v>
      </c>
      <c r="O54" s="2" t="s">
        <v>90</v>
      </c>
      <c r="P54" s="2" t="s">
        <v>90</v>
      </c>
      <c r="Q54" s="2" t="s">
        <v>90</v>
      </c>
      <c r="R54" s="2" t="s">
        <v>90</v>
      </c>
      <c r="S54" s="2" t="str">
        <f t="shared" si="1"/>
        <v>Mario Kart torneo</v>
      </c>
    </row>
    <row r="55" ht="12.75" customHeight="1"/>
    <row r="56" ht="12.75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customHeight="1"/>
    <row r="98" ht="12.75" customHeight="1"/>
    <row r="99" ht="12.75" customHeight="1"/>
    <row r="100" ht="12.75" customHeight="1">
      <c r="A100" s="2" t="s">
        <v>89</v>
      </c>
      <c r="B100" s="3">
        <f t="array" ref="B100">SUM(IF(B2:B99="v",1))</f>
        <v>12</v>
      </c>
      <c r="C100" s="3">
        <f t="array" ref="C100">SUM(IF(C2:C99="v",1))</f>
        <v>8</v>
      </c>
      <c r="D100" s="3">
        <f t="array" ref="D100">SUM(IF(D2:D99="v",1))</f>
        <v>0</v>
      </c>
      <c r="E100" s="3">
        <f t="array" ref="E100">SUM(IF(E2:E99="v",1))</f>
        <v>0</v>
      </c>
      <c r="F100" s="3">
        <f t="array" ref="F100">SUM(IF(F2:F99="v",1))</f>
        <v>6</v>
      </c>
      <c r="G100" s="3">
        <f t="array" ref="G100">SUM(IF(G2:G99="v",1))</f>
        <v>11</v>
      </c>
      <c r="H100" s="3">
        <f t="array" ref="H100">SUM(IF(H2:H99="v",1))</f>
        <v>26</v>
      </c>
      <c r="I100" s="3">
        <f t="array" ref="I100">SUM(IF(I2:I99="v",1))</f>
        <v>9</v>
      </c>
      <c r="J100" s="3">
        <f t="array" ref="J100">SUM(IF(J2:J99="v",1))</f>
        <v>16</v>
      </c>
      <c r="K100" s="3">
        <f t="array" ref="K100">SUM(IF(K2:K99="v",1))</f>
        <v>0</v>
      </c>
      <c r="L100" s="3">
        <f t="array" ref="L100">SUM(IF(L2:L99="v",1))</f>
        <v>16</v>
      </c>
      <c r="M100" s="3">
        <f t="array" ref="M100">SUM(IF(M2:M99="v",1))</f>
        <v>7</v>
      </c>
      <c r="N100" s="3">
        <f t="array" ref="N100">SUM(IF(N2:N99="v",1))</f>
        <v>0</v>
      </c>
      <c r="O100" s="3">
        <f t="array" ref="O100">SUM(IF(O2:O99="v",1))</f>
        <v>3</v>
      </c>
      <c r="P100" s="3">
        <f t="array" ref="P100">SUM(IF(P2:P99="v",1))</f>
        <v>0</v>
      </c>
      <c r="Q100" s="3">
        <f t="array" ref="Q100">SUM(IF(Q2:Q99="v",1))</f>
        <v>5</v>
      </c>
      <c r="R100" s="3">
        <f t="array" ref="R100">SUM(IF(R2:R99="v",1))</f>
        <v>0</v>
      </c>
      <c r="S100" s="2" t="s">
        <v>89</v>
      </c>
    </row>
    <row r="101" ht="12.75" customHeight="1">
      <c r="A101" s="2" t="s">
        <v>90</v>
      </c>
      <c r="B101" s="3">
        <f t="array" ref="B101">SUM(IF(B2:B99="x",1))</f>
        <v>17</v>
      </c>
      <c r="C101" s="3">
        <f t="array" ref="C101">SUM(IF(C2:C99="x",1))</f>
        <v>37</v>
      </c>
      <c r="D101" s="3">
        <f t="array" ref="D101">SUM(IF(D2:D99="x",1))</f>
        <v>53</v>
      </c>
      <c r="E101" s="3">
        <f t="array" ref="E101">SUM(IF(E2:E99="x",1))</f>
        <v>53</v>
      </c>
      <c r="F101" s="3">
        <f t="array" ref="F101">SUM(IF(F2:F99="x",1))</f>
        <v>2</v>
      </c>
      <c r="G101" s="3">
        <f t="array" ref="G101">SUM(IF(G2:G99="x",1))</f>
        <v>30</v>
      </c>
      <c r="H101" s="3">
        <f t="array" ref="H101">SUM(IF(H2:H99="x",1))</f>
        <v>6</v>
      </c>
      <c r="I101" s="3">
        <f t="array" ref="I101">SUM(IF(I2:I99="x",1))</f>
        <v>21</v>
      </c>
      <c r="J101" s="3">
        <f t="array" ref="J101">SUM(IF(J2:J99="x",1))</f>
        <v>17</v>
      </c>
      <c r="K101" s="3">
        <f t="array" ref="K101">SUM(IF(K2:K99="x",1))</f>
        <v>53</v>
      </c>
      <c r="L101" s="3">
        <f t="array" ref="L101">SUM(IF(L2:L99="x",1))</f>
        <v>24</v>
      </c>
      <c r="M101" s="3">
        <f t="array" ref="M101">SUM(IF(M2:M99="x",1))</f>
        <v>26</v>
      </c>
      <c r="N101" s="3">
        <f t="array" ref="N101">SUM(IF(N2:N99="x",1))</f>
        <v>53</v>
      </c>
      <c r="O101" s="3">
        <f t="array" ref="O101">SUM(IF(O2:O99="x",1))</f>
        <v>49</v>
      </c>
      <c r="P101" s="3">
        <f t="array" ref="P101">SUM(IF(P2:P99="x",1))</f>
        <v>53</v>
      </c>
      <c r="Q101" s="3">
        <f t="array" ref="Q101">SUM(IF(Q2:Q99="x",1))</f>
        <v>38</v>
      </c>
      <c r="R101" s="3">
        <f t="array" ref="R101">SUM(IF(R2:R99="x",1))</f>
        <v>53</v>
      </c>
      <c r="S101" s="2" t="s">
        <v>90</v>
      </c>
    </row>
    <row r="102" ht="12.75" customHeight="1">
      <c r="A102" s="2" t="s">
        <v>128</v>
      </c>
      <c r="B102" s="3">
        <f t="shared" ref="B102:R102" si="2">B100+B103+B104+B105</f>
        <v>36</v>
      </c>
      <c r="C102" s="3">
        <f t="shared" si="2"/>
        <v>16</v>
      </c>
      <c r="D102" s="3">
        <f t="shared" si="2"/>
        <v>0</v>
      </c>
      <c r="E102" s="3">
        <f t="shared" si="2"/>
        <v>0</v>
      </c>
      <c r="F102" s="3">
        <f t="shared" si="2"/>
        <v>51</v>
      </c>
      <c r="G102" s="3">
        <f t="shared" si="2"/>
        <v>23</v>
      </c>
      <c r="H102" s="3">
        <f t="shared" si="2"/>
        <v>47</v>
      </c>
      <c r="I102" s="3">
        <f t="shared" si="2"/>
        <v>32</v>
      </c>
      <c r="J102" s="3">
        <f t="shared" si="2"/>
        <v>36</v>
      </c>
      <c r="K102" s="3">
        <f t="shared" si="2"/>
        <v>0</v>
      </c>
      <c r="L102" s="3">
        <f t="shared" si="2"/>
        <v>29</v>
      </c>
      <c r="M102" s="3">
        <f t="shared" si="2"/>
        <v>27</v>
      </c>
      <c r="N102" s="3">
        <f t="shared" si="2"/>
        <v>0</v>
      </c>
      <c r="O102" s="3">
        <f t="shared" si="2"/>
        <v>4</v>
      </c>
      <c r="P102" s="3">
        <f t="shared" si="2"/>
        <v>0</v>
      </c>
      <c r="Q102" s="3">
        <f t="shared" si="2"/>
        <v>15</v>
      </c>
      <c r="R102" s="3">
        <f t="shared" si="2"/>
        <v>0</v>
      </c>
      <c r="S102" s="2" t="s">
        <v>128</v>
      </c>
    </row>
    <row r="103" ht="12.75" customHeight="1">
      <c r="A103" s="2" t="s">
        <v>17</v>
      </c>
      <c r="B103" s="3">
        <f t="array" ref="B103">SUM(IF(B$2:B$99=$A103,1))</f>
        <v>5</v>
      </c>
      <c r="C103" s="3">
        <f t="array" ref="C103">SUM(IF(C$2:C$99=$A103,1))</f>
        <v>5</v>
      </c>
      <c r="D103" s="3">
        <f t="array" ref="D103">SUM(IF(D$2:D$99=$A103,1))</f>
        <v>0</v>
      </c>
      <c r="E103" s="3">
        <f t="array" ref="E103">SUM(IF(E$2:E$99=$A103,1))</f>
        <v>0</v>
      </c>
      <c r="F103" s="3">
        <f t="array" ref="F103">SUM(IF(F$2:F$99=$A103,1))</f>
        <v>7</v>
      </c>
      <c r="G103" s="3">
        <f t="array" ref="G103">SUM(IF(G$2:G$99=$A103,1))</f>
        <v>5</v>
      </c>
      <c r="H103" s="3">
        <f t="array" ref="H103">SUM(IF(H$2:H$99=$A103,1))</f>
        <v>6</v>
      </c>
      <c r="I103" s="3">
        <f t="array" ref="I103">SUM(IF(I$2:I$99=$A103,1))</f>
        <v>6</v>
      </c>
      <c r="J103" s="3">
        <f t="array" ref="J103">SUM(IF(J$2:J$99=$A103,1))</f>
        <v>7</v>
      </c>
      <c r="K103" s="3">
        <f t="array" ref="K103">SUM(IF(K$2:K$99=$A103,1))</f>
        <v>0</v>
      </c>
      <c r="L103" s="3">
        <f t="array" ref="L103">SUM(IF(L$2:L$99=$A103,1))</f>
        <v>4</v>
      </c>
      <c r="M103" s="3">
        <f t="array" ref="M103">SUM(IF(M$2:M$99=$A103,1))</f>
        <v>1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  <c r="Q103" s="3">
        <f t="array" ref="Q103">SUM(IF(Q$2:Q$99=$A103,1))</f>
        <v>4</v>
      </c>
      <c r="R103" s="3">
        <f t="array" ref="R103">SUM(IF(R$2:R$99=$A103,1))</f>
        <v>0</v>
      </c>
      <c r="S103" s="2" t="s">
        <v>17</v>
      </c>
    </row>
    <row r="104" ht="12.75" customHeight="1">
      <c r="A104" s="2" t="s">
        <v>15</v>
      </c>
      <c r="B104" s="3">
        <f t="array" ref="B104">SUM(IF(B$2:B$99=$A104,1))</f>
        <v>12</v>
      </c>
      <c r="C104" s="3">
        <f t="array" ref="C104">SUM(IF(C$2:C$99=$A104,1))</f>
        <v>1</v>
      </c>
      <c r="D104" s="3">
        <f t="array" ref="D104">SUM(IF(D$2:D$99=$A104,1))</f>
        <v>0</v>
      </c>
      <c r="E104" s="3">
        <f t="array" ref="E104">SUM(IF(E$2:E$99=$A104,1))</f>
        <v>0</v>
      </c>
      <c r="F104" s="3">
        <f t="array" ref="F104">SUM(IF(F$2:F$99=$A104,1))</f>
        <v>13</v>
      </c>
      <c r="G104" s="3">
        <f t="array" ref="G104">SUM(IF(G$2:G$99=$A104,1))</f>
        <v>1</v>
      </c>
      <c r="H104" s="3">
        <f t="array" ref="H104">SUM(IF(H$2:H$99=$A104,1))</f>
        <v>8</v>
      </c>
      <c r="I104" s="3">
        <f t="array" ref="I104">SUM(IF(I$2:I$99=$A104,1))</f>
        <v>6</v>
      </c>
      <c r="J104" s="3">
        <f t="array" ref="J104">SUM(IF(J$2:J$99=$A104,1))</f>
        <v>8</v>
      </c>
      <c r="K104" s="3">
        <f t="array" ref="K104">SUM(IF(K$2:K$99=$A104,1))</f>
        <v>0</v>
      </c>
      <c r="L104" s="3">
        <f t="array" ref="L104">SUM(IF(L$2:L$99=$A104,1))</f>
        <v>3</v>
      </c>
      <c r="M104" s="3">
        <f t="array" ref="M104">SUM(IF(M$2:M$99=$A104,1))</f>
        <v>11</v>
      </c>
      <c r="N104" s="3">
        <f t="array" ref="N104">SUM(IF(N$2:N$99=$A104,1))</f>
        <v>0</v>
      </c>
      <c r="O104" s="3">
        <f t="array" ref="O104">SUM(IF(O$2:O$99=$A104,1))</f>
        <v>1</v>
      </c>
      <c r="P104" s="3">
        <f t="array" ref="P104">SUM(IF(P$2:P$99=$A104,1))</f>
        <v>0</v>
      </c>
      <c r="Q104" s="3">
        <f t="array" ref="Q104">SUM(IF(Q$2:Q$99=$A104,1))</f>
        <v>2</v>
      </c>
      <c r="R104" s="3">
        <f t="array" ref="R104">SUM(IF(R$2:R$99=$A104,1))</f>
        <v>0</v>
      </c>
      <c r="S104" s="2" t="s">
        <v>15</v>
      </c>
    </row>
    <row r="105" ht="12.75" customHeight="1">
      <c r="A105" s="2" t="s">
        <v>16</v>
      </c>
      <c r="B105" s="3">
        <f t="array" ref="B105">SUM(IF(B$2:B$99=$A105,1))</f>
        <v>7</v>
      </c>
      <c r="C105" s="3">
        <f t="array" ref="C105">SUM(IF(C$2:C$99=$A105,1))</f>
        <v>2</v>
      </c>
      <c r="D105" s="3">
        <f t="array" ref="D105">SUM(IF(D$2:D$99=$A105,1))</f>
        <v>0</v>
      </c>
      <c r="E105" s="3">
        <f t="array" ref="E105">SUM(IF(E$2:E$99=$A105,1))</f>
        <v>0</v>
      </c>
      <c r="F105" s="3">
        <f t="array" ref="F105">SUM(IF(F$2:F$99=$A105,1))</f>
        <v>25</v>
      </c>
      <c r="G105" s="3">
        <f t="array" ref="G105">SUM(IF(G$2:G$99=$A105,1))</f>
        <v>6</v>
      </c>
      <c r="H105" s="3">
        <f t="array" ref="H105">SUM(IF(H$2:H$99=$A105,1))</f>
        <v>7</v>
      </c>
      <c r="I105" s="3">
        <f t="array" ref="I105">SUM(IF(I$2:I$99=$A105,1))</f>
        <v>11</v>
      </c>
      <c r="J105" s="3">
        <f t="array" ref="J105">SUM(IF(J$2:J$99=$A105,1))</f>
        <v>5</v>
      </c>
      <c r="K105" s="3">
        <f t="array" ref="K105">SUM(IF(K$2:K$99=$A105,1))</f>
        <v>0</v>
      </c>
      <c r="L105" s="3">
        <f t="array" ref="L105">SUM(IF(L$2:L$99=$A105,1))</f>
        <v>6</v>
      </c>
      <c r="M105" s="3">
        <f t="array" ref="M105">SUM(IF(M$2:M$99=$A105,1))</f>
        <v>8</v>
      </c>
      <c r="N105" s="3">
        <f t="array" ref="N105">SUM(IF(N$2:N$99=$A105,1))</f>
        <v>0</v>
      </c>
      <c r="O105" s="3">
        <f t="array" ref="O105">SUM(IF(O$2:O$99=$A105,1))</f>
        <v>0</v>
      </c>
      <c r="P105" s="3">
        <f t="array" ref="P105">SUM(IF(P$2:P$99=$A105,1))</f>
        <v>0</v>
      </c>
      <c r="Q105" s="3">
        <f t="array" ref="Q105">SUM(IF(Q$2:Q$99=$A105,1))</f>
        <v>4</v>
      </c>
      <c r="R105" s="3">
        <f t="array" ref="R105">SUM(IF(R$2:R$99=$A105,1))</f>
        <v>0</v>
      </c>
      <c r="S105" s="2" t="s">
        <v>16</v>
      </c>
    </row>
    <row r="106" ht="12.75" customHeight="1">
      <c r="A106" s="4" t="s">
        <v>129</v>
      </c>
      <c r="B106" s="4">
        <f t="shared" ref="B106:R106" si="3">B103+B104*2+B105*3</f>
        <v>50</v>
      </c>
      <c r="C106" s="4">
        <f t="shared" si="3"/>
        <v>13</v>
      </c>
      <c r="D106" s="4">
        <f t="shared" si="3"/>
        <v>0</v>
      </c>
      <c r="E106" s="4">
        <f t="shared" si="3"/>
        <v>0</v>
      </c>
      <c r="F106" s="4">
        <f t="shared" si="3"/>
        <v>108</v>
      </c>
      <c r="G106" s="4">
        <f t="shared" si="3"/>
        <v>25</v>
      </c>
      <c r="H106" s="4">
        <f t="shared" si="3"/>
        <v>43</v>
      </c>
      <c r="I106" s="4">
        <f t="shared" si="3"/>
        <v>51</v>
      </c>
      <c r="J106" s="4">
        <f t="shared" si="3"/>
        <v>38</v>
      </c>
      <c r="K106" s="4">
        <f t="shared" si="3"/>
        <v>0</v>
      </c>
      <c r="L106" s="4">
        <f t="shared" si="3"/>
        <v>28</v>
      </c>
      <c r="M106" s="4">
        <f t="shared" si="3"/>
        <v>47</v>
      </c>
      <c r="N106" s="4">
        <f t="shared" si="3"/>
        <v>0</v>
      </c>
      <c r="O106" s="4">
        <f t="shared" si="3"/>
        <v>2</v>
      </c>
      <c r="P106" s="4">
        <f t="shared" si="3"/>
        <v>0</v>
      </c>
      <c r="Q106" s="4">
        <f t="shared" si="3"/>
        <v>20</v>
      </c>
      <c r="R106" s="4">
        <f t="shared" si="3"/>
        <v>0</v>
      </c>
      <c r="S106" s="4" t="s">
        <v>129</v>
      </c>
    </row>
    <row r="107" ht="12.75" customHeight="1">
      <c r="A107" s="2" t="s">
        <v>130</v>
      </c>
      <c r="B107" s="11">
        <f t="shared" ref="B107:R107" si="4">IF(B100+B103+B104+B105&lt;&gt;0,B106/(B100+B103+B104+B105),0)</f>
        <v>1.388888889</v>
      </c>
      <c r="C107" s="11">
        <f t="shared" si="4"/>
        <v>0.8125</v>
      </c>
      <c r="D107" s="11">
        <f t="shared" si="4"/>
        <v>0</v>
      </c>
      <c r="E107" s="11">
        <f t="shared" si="4"/>
        <v>0</v>
      </c>
      <c r="F107" s="11">
        <f t="shared" si="4"/>
        <v>2.117647059</v>
      </c>
      <c r="G107" s="11">
        <f t="shared" si="4"/>
        <v>1.086956522</v>
      </c>
      <c r="H107" s="11">
        <f t="shared" si="4"/>
        <v>0.914893617</v>
      </c>
      <c r="I107" s="11">
        <f t="shared" si="4"/>
        <v>1.59375</v>
      </c>
      <c r="J107" s="11">
        <f t="shared" si="4"/>
        <v>1.055555556</v>
      </c>
      <c r="K107" s="11">
        <f t="shared" si="4"/>
        <v>0</v>
      </c>
      <c r="L107" s="11">
        <f t="shared" si="4"/>
        <v>0.9655172414</v>
      </c>
      <c r="M107" s="11">
        <f t="shared" si="4"/>
        <v>1.740740741</v>
      </c>
      <c r="N107" s="11">
        <f t="shared" si="4"/>
        <v>0</v>
      </c>
      <c r="O107" s="11">
        <f t="shared" si="4"/>
        <v>0.5</v>
      </c>
      <c r="P107" s="11">
        <f t="shared" si="4"/>
        <v>0</v>
      </c>
      <c r="Q107" s="11">
        <f t="shared" si="4"/>
        <v>1.333333333</v>
      </c>
      <c r="R107" s="11">
        <f t="shared" si="4"/>
        <v>0</v>
      </c>
      <c r="S107" s="2" t="s">
        <v>130</v>
      </c>
    </row>
    <row r="108" ht="12.75" customHeight="1">
      <c r="A108" s="2" t="s">
        <v>363</v>
      </c>
      <c r="B108" s="2">
        <f t="shared" ref="B108:R108" si="5">B105+B104+B103</f>
        <v>24</v>
      </c>
      <c r="C108" s="2">
        <f t="shared" si="5"/>
        <v>8</v>
      </c>
      <c r="D108" s="2">
        <f t="shared" si="5"/>
        <v>0</v>
      </c>
      <c r="E108" s="2">
        <f t="shared" si="5"/>
        <v>0</v>
      </c>
      <c r="F108" s="2">
        <f t="shared" si="5"/>
        <v>45</v>
      </c>
      <c r="G108" s="2">
        <f t="shared" si="5"/>
        <v>12</v>
      </c>
      <c r="H108" s="2">
        <f t="shared" si="5"/>
        <v>21</v>
      </c>
      <c r="I108" s="2">
        <f t="shared" si="5"/>
        <v>23</v>
      </c>
      <c r="J108" s="2">
        <f t="shared" si="5"/>
        <v>20</v>
      </c>
      <c r="K108" s="2">
        <f t="shared" si="5"/>
        <v>0</v>
      </c>
      <c r="L108" s="2">
        <f t="shared" si="5"/>
        <v>13</v>
      </c>
      <c r="M108" s="2">
        <f t="shared" si="5"/>
        <v>20</v>
      </c>
      <c r="N108" s="2">
        <f t="shared" si="5"/>
        <v>0</v>
      </c>
      <c r="O108" s="2">
        <f t="shared" si="5"/>
        <v>1</v>
      </c>
      <c r="P108" s="2">
        <f t="shared" si="5"/>
        <v>0</v>
      </c>
      <c r="Q108" s="2">
        <f t="shared" si="5"/>
        <v>10</v>
      </c>
      <c r="R108" s="2">
        <f t="shared" si="5"/>
        <v>0</v>
      </c>
      <c r="S108" s="2" t="s">
        <v>363</v>
      </c>
    </row>
    <row r="109" ht="12.75" customHeight="1">
      <c r="A109" s="2" t="s">
        <v>131</v>
      </c>
      <c r="B109" s="3">
        <f t="shared" ref="B109:R109" si="6">B102+B101</f>
        <v>53</v>
      </c>
      <c r="C109" s="3">
        <f t="shared" si="6"/>
        <v>53</v>
      </c>
      <c r="D109" s="3">
        <f t="shared" si="6"/>
        <v>53</v>
      </c>
      <c r="E109" s="3">
        <f t="shared" si="6"/>
        <v>53</v>
      </c>
      <c r="F109" s="3">
        <f t="shared" si="6"/>
        <v>53</v>
      </c>
      <c r="G109" s="3">
        <f t="shared" si="6"/>
        <v>53</v>
      </c>
      <c r="H109" s="3">
        <f t="shared" si="6"/>
        <v>53</v>
      </c>
      <c r="I109" s="3">
        <f t="shared" si="6"/>
        <v>53</v>
      </c>
      <c r="J109" s="3">
        <f t="shared" si="6"/>
        <v>53</v>
      </c>
      <c r="K109" s="3">
        <f t="shared" si="6"/>
        <v>53</v>
      </c>
      <c r="L109" s="3">
        <f t="shared" si="6"/>
        <v>53</v>
      </c>
      <c r="M109" s="3">
        <f t="shared" si="6"/>
        <v>53</v>
      </c>
      <c r="N109" s="3">
        <f t="shared" si="6"/>
        <v>53</v>
      </c>
      <c r="O109" s="3">
        <f t="shared" si="6"/>
        <v>53</v>
      </c>
      <c r="P109" s="3">
        <f t="shared" si="6"/>
        <v>53</v>
      </c>
      <c r="Q109" s="3">
        <f t="shared" si="6"/>
        <v>53</v>
      </c>
      <c r="R109" s="3">
        <f t="shared" si="6"/>
        <v>53</v>
      </c>
      <c r="S109" s="2" t="s">
        <v>131</v>
      </c>
    </row>
    <row r="110" ht="12.75" customHeight="1"/>
    <row r="111" ht="12.75" customHeight="1">
      <c r="A111" s="2" t="s">
        <v>132</v>
      </c>
      <c r="B111" s="3">
        <f>B106+G106+J106+I106</f>
        <v>164</v>
      </c>
      <c r="D111" s="2" t="s">
        <v>133</v>
      </c>
      <c r="E111" s="12">
        <f>B106+G106</f>
        <v>75</v>
      </c>
      <c r="G111" s="2" t="s">
        <v>134</v>
      </c>
      <c r="H111" s="3">
        <f>I106+J106</f>
        <v>89</v>
      </c>
      <c r="J111" s="2" t="s">
        <v>135</v>
      </c>
      <c r="K111" s="3">
        <f>B102+G102+I102+J102</f>
        <v>127</v>
      </c>
      <c r="M111" s="2" t="s">
        <v>136</v>
      </c>
      <c r="N111" s="11">
        <f t="shared" ref="N111:N113" si="7">B111/K111</f>
        <v>1.291338583</v>
      </c>
      <c r="S111" s="2" t="s">
        <v>132</v>
      </c>
    </row>
    <row r="112" ht="12.75" customHeight="1">
      <c r="A112" s="2" t="s">
        <v>137</v>
      </c>
      <c r="B112" s="3">
        <f>C106+E106+H106+L106+M106</f>
        <v>131</v>
      </c>
      <c r="D112" s="2" t="s">
        <v>138</v>
      </c>
      <c r="E112" s="3">
        <f>M106+L106</f>
        <v>75</v>
      </c>
      <c r="G112" s="2" t="s">
        <v>139</v>
      </c>
      <c r="H112" s="3">
        <f>C106+E106+H106</f>
        <v>56</v>
      </c>
      <c r="J112" s="2" t="s">
        <v>135</v>
      </c>
      <c r="K112" s="3">
        <f>C102+E102+H102+L102+M102</f>
        <v>119</v>
      </c>
      <c r="M112" s="2" t="s">
        <v>136</v>
      </c>
      <c r="N112" s="11">
        <f t="shared" si="7"/>
        <v>1.100840336</v>
      </c>
      <c r="S112" s="2" t="s">
        <v>137</v>
      </c>
    </row>
    <row r="113" ht="12.75" customHeight="1">
      <c r="A113" s="2" t="s">
        <v>140</v>
      </c>
      <c r="B113" s="3">
        <f>D106+F106+K106+N106</f>
        <v>108</v>
      </c>
      <c r="D113" s="2" t="s">
        <v>141</v>
      </c>
      <c r="E113" s="3">
        <f>K106+N106</f>
        <v>0</v>
      </c>
      <c r="G113" s="2" t="s">
        <v>142</v>
      </c>
      <c r="H113" s="3">
        <f>D106+F106</f>
        <v>108</v>
      </c>
      <c r="J113" s="2" t="s">
        <v>135</v>
      </c>
      <c r="K113" s="3">
        <f>D102+F102+K102+N102</f>
        <v>51</v>
      </c>
      <c r="M113" s="2" t="s">
        <v>136</v>
      </c>
      <c r="N113" s="11">
        <f t="shared" si="7"/>
        <v>2.117647059</v>
      </c>
      <c r="S113" s="2" t="s">
        <v>140</v>
      </c>
    </row>
    <row r="114" ht="12.75" customHeight="1">
      <c r="B114" s="3"/>
      <c r="E114" s="3"/>
      <c r="H114" s="3"/>
      <c r="K114" s="3"/>
      <c r="N114" s="11"/>
    </row>
    <row r="115" ht="12.75" customHeight="1">
      <c r="A115" s="20"/>
      <c r="B115" s="3" t="str">
        <f t="shared" ref="B115:R115" si="8">B1</f>
        <v>David</v>
      </c>
      <c r="C115" s="3" t="str">
        <f t="shared" si="8"/>
        <v>Carlos</v>
      </c>
      <c r="D115" s="3" t="str">
        <f t="shared" si="8"/>
        <v>Laura</v>
      </c>
      <c r="E115" s="3" t="str">
        <f t="shared" si="8"/>
        <v>Jorge</v>
      </c>
      <c r="F115" s="3" t="str">
        <f t="shared" si="8"/>
        <v>Sergio</v>
      </c>
      <c r="G115" s="3" t="str">
        <f t="shared" si="8"/>
        <v>Poli</v>
      </c>
      <c r="H115" s="3" t="str">
        <f t="shared" si="8"/>
        <v>Nuria</v>
      </c>
      <c r="I115" s="3" t="str">
        <f t="shared" si="8"/>
        <v>Sara</v>
      </c>
      <c r="J115" s="3" t="str">
        <f t="shared" si="8"/>
        <v>Dario</v>
      </c>
      <c r="K115" s="3" t="str">
        <f t="shared" si="8"/>
        <v>Pedro</v>
      </c>
      <c r="L115" s="3" t="str">
        <f t="shared" si="8"/>
        <v>Inés</v>
      </c>
      <c r="M115" s="3" t="str">
        <f t="shared" si="8"/>
        <v>Chema</v>
      </c>
      <c r="N115" s="3" t="str">
        <f t="shared" si="8"/>
        <v>Maite</v>
      </c>
      <c r="O115" s="3" t="str">
        <f t="shared" si="8"/>
        <v>Anuncia</v>
      </c>
      <c r="P115" s="3" t="str">
        <f t="shared" si="8"/>
        <v>Roberto</v>
      </c>
      <c r="Q115" s="3" t="str">
        <f t="shared" si="8"/>
        <v>Hana</v>
      </c>
      <c r="R115" s="3" t="str">
        <f t="shared" si="8"/>
        <v>Antonio</v>
      </c>
      <c r="S115" s="20"/>
    </row>
    <row r="116" ht="12.75" customHeight="1">
      <c r="B116" s="30" t="s">
        <v>80</v>
      </c>
      <c r="F116" s="31" t="s">
        <v>71</v>
      </c>
      <c r="I116" s="32" t="s">
        <v>76</v>
      </c>
    </row>
    <row r="117" ht="12.75" customHeight="1">
      <c r="A117" s="21" t="s">
        <v>143</v>
      </c>
      <c r="B117" s="21">
        <f>H111+H112+H113</f>
        <v>253</v>
      </c>
      <c r="E117" s="21" t="s">
        <v>144</v>
      </c>
      <c r="F117" s="22">
        <f>E111+E112+E113</f>
        <v>150</v>
      </c>
    </row>
    <row r="118" ht="12.75" customHeight="1"/>
    <row r="119" ht="12.75" customHeight="1">
      <c r="A119" s="5" t="s">
        <v>145</v>
      </c>
      <c r="B119" s="5" t="s">
        <v>4</v>
      </c>
      <c r="S119" s="5" t="s">
        <v>145</v>
      </c>
    </row>
    <row r="120" ht="12.75" customHeight="1"/>
    <row r="121" ht="12.75" customHeight="1">
      <c r="A121" s="2" t="s">
        <v>69</v>
      </c>
      <c r="O121" s="2" t="s">
        <v>310</v>
      </c>
      <c r="S121" s="2" t="s">
        <v>69</v>
      </c>
    </row>
    <row r="122" ht="12.75" customHeight="1">
      <c r="A122" s="2" t="s">
        <v>311</v>
      </c>
      <c r="B122" s="2">
        <f>'2019'!B122+B106</f>
        <v>910.75</v>
      </c>
      <c r="C122" s="2">
        <f>'2019'!C122+C106</f>
        <v>445.5</v>
      </c>
      <c r="D122" s="2">
        <f>'2019'!D122+D106</f>
        <v>374</v>
      </c>
      <c r="E122" s="2">
        <f>'2019'!E122+E106</f>
        <v>526.25</v>
      </c>
      <c r="F122" s="2">
        <f>'2019'!F122+F106</f>
        <v>1004.25</v>
      </c>
      <c r="G122" s="2">
        <f>'2019'!G122+G106</f>
        <v>274</v>
      </c>
      <c r="H122" s="2">
        <f>'2019'!H122+H106</f>
        <v>378.25</v>
      </c>
      <c r="I122" s="2">
        <f>'2019'!I122+I106</f>
        <v>458.5</v>
      </c>
      <c r="J122" s="2">
        <f>'2019'!J122+J106</f>
        <v>397</v>
      </c>
      <c r="K122" s="2">
        <f>'2019'!K122+K106</f>
        <v>186</v>
      </c>
      <c r="L122" s="2">
        <f>'2019'!L122+L106</f>
        <v>67</v>
      </c>
      <c r="M122" s="2">
        <f>'2019'!M122+M106</f>
        <v>81</v>
      </c>
      <c r="N122" s="2">
        <f>'2019'!N122+N106</f>
        <v>12</v>
      </c>
      <c r="O122" s="2">
        <f>'2019'!O122+O106+P106</f>
        <v>55.25</v>
      </c>
      <c r="P122" s="2" t="s">
        <v>376</v>
      </c>
      <c r="Q122" s="2">
        <f>'2019'!Q122+Q106</f>
        <v>43</v>
      </c>
      <c r="R122" s="2">
        <f>'2019'!R122+R106</f>
        <v>72</v>
      </c>
      <c r="S122" s="2" t="s">
        <v>311</v>
      </c>
    </row>
    <row r="123" ht="12.75" customHeight="1"/>
    <row r="124" ht="12.75" customHeight="1">
      <c r="A124" s="16" t="s">
        <v>85</v>
      </c>
      <c r="B124" s="16">
        <v>3.0</v>
      </c>
      <c r="C124" s="16">
        <v>2.0</v>
      </c>
      <c r="D124" s="16">
        <v>0.0</v>
      </c>
      <c r="E124" s="16">
        <v>1.0</v>
      </c>
      <c r="F124" s="16">
        <v>8.0</v>
      </c>
      <c r="G124" s="16">
        <v>0.0</v>
      </c>
      <c r="H124" s="16">
        <v>0.0</v>
      </c>
      <c r="I124" s="16">
        <v>0.0</v>
      </c>
      <c r="J124" s="16">
        <v>0.0</v>
      </c>
      <c r="K124" s="16">
        <v>0.0</v>
      </c>
      <c r="L124" s="16">
        <v>0.0</v>
      </c>
      <c r="M124" s="16">
        <v>0.0</v>
      </c>
      <c r="N124" s="16">
        <v>0.0</v>
      </c>
      <c r="O124" s="16">
        <v>0.0</v>
      </c>
      <c r="P124" s="2" t="s">
        <v>376</v>
      </c>
      <c r="Q124" s="3">
        <v>0.0</v>
      </c>
      <c r="R124" s="3">
        <v>0.0</v>
      </c>
      <c r="S124" s="16" t="s">
        <v>85</v>
      </c>
    </row>
    <row r="125" ht="12.75" customHeight="1"/>
    <row r="126" ht="12.75" customHeight="1">
      <c r="A126" s="3" t="s">
        <v>365</v>
      </c>
      <c r="C126" s="3">
        <f>'2019'!C126+B109</f>
        <v>673</v>
      </c>
    </row>
    <row r="127" ht="12.75" customHeight="1"/>
    <row r="128" ht="12.75" customHeight="1">
      <c r="A128" s="24">
        <f>A1</f>
        <v>2021</v>
      </c>
      <c r="B128" s="3" t="s">
        <v>0</v>
      </c>
      <c r="C128" s="3" t="s">
        <v>1</v>
      </c>
      <c r="D128" s="16" t="s">
        <v>2</v>
      </c>
      <c r="E128" s="3" t="s">
        <v>3</v>
      </c>
      <c r="F128" s="16" t="s">
        <v>4</v>
      </c>
      <c r="G128" s="16" t="s">
        <v>5</v>
      </c>
      <c r="H128" s="16" t="s">
        <v>6</v>
      </c>
      <c r="I128" s="16" t="s">
        <v>7</v>
      </c>
      <c r="J128" s="16" t="s">
        <v>8</v>
      </c>
      <c r="K128" s="16" t="s">
        <v>9</v>
      </c>
      <c r="L128" s="16" t="s">
        <v>10</v>
      </c>
      <c r="M128" s="3" t="s">
        <v>11</v>
      </c>
      <c r="N128" s="3" t="s">
        <v>12</v>
      </c>
      <c r="O128" s="16" t="s">
        <v>150</v>
      </c>
      <c r="P128" s="16" t="s">
        <v>151</v>
      </c>
      <c r="Q128" s="2" t="s">
        <v>345</v>
      </c>
      <c r="R128" s="3" t="s">
        <v>413</v>
      </c>
      <c r="S128" s="24">
        <f>A1</f>
        <v>2021</v>
      </c>
    </row>
    <row r="129" ht="12.75" customHeight="1">
      <c r="A129" s="2" t="s">
        <v>471</v>
      </c>
    </row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54"/>
  <conditionalFormatting sqref="B100:R107">
    <cfRule type="cellIs" dxfId="0" priority="1" stopIfTrue="1" operator="equal">
      <formula>"PLATA"</formula>
    </cfRule>
  </conditionalFormatting>
  <conditionalFormatting sqref="B100:R107">
    <cfRule type="cellIs" dxfId="1" priority="2" stopIfTrue="1" operator="equal">
      <formula>"ORO"</formula>
    </cfRule>
  </conditionalFormatting>
  <conditionalFormatting sqref="B100:R107">
    <cfRule type="cellIs" dxfId="2" priority="3" stopIfTrue="1" operator="equal">
      <formula>"BRONCE"</formula>
    </cfRule>
  </conditionalFormatting>
  <conditionalFormatting sqref="N111:N114">
    <cfRule type="cellIs" dxfId="0" priority="4" stopIfTrue="1" operator="equal">
      <formula>"PLATA"</formula>
    </cfRule>
  </conditionalFormatting>
  <conditionalFormatting sqref="N111:N114">
    <cfRule type="cellIs" dxfId="1" priority="5" stopIfTrue="1" operator="equal">
      <formula>"ORO"</formula>
    </cfRule>
  </conditionalFormatting>
  <conditionalFormatting sqref="N111:N114">
    <cfRule type="cellIs" dxfId="2" priority="6" stopIfTrue="1" operator="equal">
      <formula>"BRONCE"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7" width="14.25"/>
  </cols>
  <sheetData>
    <row r="1" ht="12.75" customHeight="1">
      <c r="A1" s="24">
        <v>2022.0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150</v>
      </c>
      <c r="P1" s="3" t="s">
        <v>151</v>
      </c>
      <c r="Q1" s="3" t="s">
        <v>345</v>
      </c>
      <c r="R1" s="3" t="s">
        <v>413</v>
      </c>
      <c r="S1" s="3" t="s">
        <v>472</v>
      </c>
      <c r="T1" s="33">
        <f>A1</f>
        <v>2022</v>
      </c>
    </row>
    <row r="2">
      <c r="A2" s="34">
        <v>-1.0</v>
      </c>
      <c r="B2" s="34"/>
      <c r="C2" s="2" t="s">
        <v>90</v>
      </c>
      <c r="D2" s="2" t="s">
        <v>90</v>
      </c>
      <c r="E2" s="34"/>
      <c r="F2" s="35" t="s">
        <v>16</v>
      </c>
      <c r="G2" s="34"/>
      <c r="H2" s="35" t="s">
        <v>17</v>
      </c>
      <c r="I2" s="34"/>
      <c r="J2" s="34"/>
      <c r="K2" s="35" t="s">
        <v>15</v>
      </c>
      <c r="L2" s="34"/>
      <c r="M2" s="2" t="s">
        <v>90</v>
      </c>
      <c r="N2" s="2" t="s">
        <v>90</v>
      </c>
      <c r="O2" s="34"/>
      <c r="Q2" s="2" t="s">
        <v>90</v>
      </c>
      <c r="R2" s="2" t="s">
        <v>90</v>
      </c>
      <c r="S2" s="34"/>
      <c r="T2" s="36">
        <v>-1.0</v>
      </c>
    </row>
    <row r="3">
      <c r="A3" s="34" t="s">
        <v>33</v>
      </c>
      <c r="B3" s="34"/>
      <c r="C3" s="2" t="s">
        <v>90</v>
      </c>
      <c r="D3" s="2" t="s">
        <v>90</v>
      </c>
      <c r="E3" s="34"/>
      <c r="F3" s="35" t="s">
        <v>16</v>
      </c>
      <c r="G3" s="34"/>
      <c r="H3" s="35" t="s">
        <v>15</v>
      </c>
      <c r="I3" s="34"/>
      <c r="J3" s="34"/>
      <c r="K3" s="35" t="s">
        <v>17</v>
      </c>
      <c r="L3" s="34"/>
      <c r="M3" s="2" t="s">
        <v>90</v>
      </c>
      <c r="N3" s="2" t="s">
        <v>90</v>
      </c>
      <c r="O3" s="34"/>
      <c r="Q3" s="2" t="s">
        <v>90</v>
      </c>
      <c r="R3" s="2" t="s">
        <v>90</v>
      </c>
      <c r="S3" s="34"/>
      <c r="T3" s="36" t="s">
        <v>33</v>
      </c>
    </row>
    <row r="4">
      <c r="A4" s="34" t="s">
        <v>33</v>
      </c>
      <c r="B4" s="34"/>
      <c r="C4" s="2" t="s">
        <v>90</v>
      </c>
      <c r="D4" s="2" t="s">
        <v>90</v>
      </c>
      <c r="E4" s="34"/>
      <c r="F4" s="35" t="s">
        <v>17</v>
      </c>
      <c r="G4" s="34"/>
      <c r="H4" s="35" t="s">
        <v>16</v>
      </c>
      <c r="I4" s="34"/>
      <c r="J4" s="34"/>
      <c r="K4" s="35" t="s">
        <v>15</v>
      </c>
      <c r="L4" s="34"/>
      <c r="M4" s="2" t="s">
        <v>90</v>
      </c>
      <c r="N4" s="2" t="s">
        <v>90</v>
      </c>
      <c r="O4" s="34"/>
      <c r="Q4" s="2" t="s">
        <v>90</v>
      </c>
      <c r="R4" s="2" t="s">
        <v>90</v>
      </c>
      <c r="S4" s="34"/>
      <c r="T4" s="36" t="s">
        <v>33</v>
      </c>
    </row>
    <row r="5">
      <c r="A5" s="34" t="s">
        <v>473</v>
      </c>
      <c r="B5" s="34" t="s">
        <v>16</v>
      </c>
      <c r="C5" s="2" t="s">
        <v>90</v>
      </c>
      <c r="D5" s="2" t="s">
        <v>90</v>
      </c>
      <c r="E5" s="34"/>
      <c r="F5" s="35" t="s">
        <v>15</v>
      </c>
      <c r="G5" s="34" t="s">
        <v>16</v>
      </c>
      <c r="H5" s="35" t="s">
        <v>15</v>
      </c>
      <c r="I5" s="34" t="s">
        <v>15</v>
      </c>
      <c r="J5" s="34" t="s">
        <v>15</v>
      </c>
      <c r="K5" s="35" t="s">
        <v>16</v>
      </c>
      <c r="L5" s="34"/>
      <c r="M5" s="2" t="s">
        <v>90</v>
      </c>
      <c r="N5" s="2" t="s">
        <v>90</v>
      </c>
      <c r="O5" s="34"/>
      <c r="Q5" s="2" t="s">
        <v>90</v>
      </c>
      <c r="R5" s="2" t="s">
        <v>90</v>
      </c>
      <c r="S5" s="34"/>
      <c r="T5" s="36" t="s">
        <v>473</v>
      </c>
    </row>
    <row r="6">
      <c r="A6" s="34">
        <v>-1.0</v>
      </c>
      <c r="B6" s="34" t="s">
        <v>17</v>
      </c>
      <c r="C6" s="2" t="s">
        <v>90</v>
      </c>
      <c r="D6" s="2" t="s">
        <v>90</v>
      </c>
      <c r="E6" s="34"/>
      <c r="F6" s="35" t="s">
        <v>89</v>
      </c>
      <c r="G6" s="34" t="s">
        <v>89</v>
      </c>
      <c r="H6" s="35" t="s">
        <v>89</v>
      </c>
      <c r="I6" s="34" t="s">
        <v>15</v>
      </c>
      <c r="J6" s="34" t="s">
        <v>89</v>
      </c>
      <c r="K6" s="35" t="s">
        <v>16</v>
      </c>
      <c r="L6" s="34"/>
      <c r="M6" s="2" t="s">
        <v>90</v>
      </c>
      <c r="N6" s="2" t="s">
        <v>90</v>
      </c>
      <c r="O6" s="34"/>
      <c r="Q6" s="2" t="s">
        <v>90</v>
      </c>
      <c r="R6" s="2" t="s">
        <v>90</v>
      </c>
      <c r="S6" s="34"/>
      <c r="T6" s="36">
        <v>-1.0</v>
      </c>
    </row>
    <row r="7">
      <c r="A7" s="34" t="s">
        <v>474</v>
      </c>
      <c r="B7" s="34" t="s">
        <v>16</v>
      </c>
      <c r="C7" s="2" t="s">
        <v>90</v>
      </c>
      <c r="D7" s="2" t="s">
        <v>90</v>
      </c>
      <c r="E7" s="34"/>
      <c r="F7" s="35" t="s">
        <v>89</v>
      </c>
      <c r="G7" s="34" t="s">
        <v>17</v>
      </c>
      <c r="H7" s="35"/>
      <c r="I7" s="34" t="s">
        <v>89</v>
      </c>
      <c r="J7" s="34" t="s">
        <v>15</v>
      </c>
      <c r="K7" s="35" t="s">
        <v>89</v>
      </c>
      <c r="L7" s="34"/>
      <c r="M7" s="2" t="s">
        <v>90</v>
      </c>
      <c r="N7" s="2" t="s">
        <v>90</v>
      </c>
      <c r="O7" s="34"/>
      <c r="Q7" s="2" t="s">
        <v>90</v>
      </c>
      <c r="R7" s="2" t="s">
        <v>90</v>
      </c>
      <c r="S7" s="34"/>
      <c r="T7" s="36" t="s">
        <v>474</v>
      </c>
    </row>
    <row r="8">
      <c r="A8" s="34" t="s">
        <v>410</v>
      </c>
      <c r="B8" s="34" t="s">
        <v>15</v>
      </c>
      <c r="C8" s="2" t="s">
        <v>90</v>
      </c>
      <c r="D8" s="2" t="s">
        <v>90</v>
      </c>
      <c r="E8" s="34"/>
      <c r="F8" s="35" t="s">
        <v>89</v>
      </c>
      <c r="G8" s="34" t="s">
        <v>89</v>
      </c>
      <c r="H8" s="35" t="s">
        <v>89</v>
      </c>
      <c r="I8" s="34" t="s">
        <v>89</v>
      </c>
      <c r="J8" s="34" t="s">
        <v>16</v>
      </c>
      <c r="K8" s="35" t="s">
        <v>17</v>
      </c>
      <c r="L8" s="34"/>
      <c r="M8" s="2" t="s">
        <v>90</v>
      </c>
      <c r="N8" s="2" t="s">
        <v>90</v>
      </c>
      <c r="O8" s="34"/>
      <c r="Q8" s="2" t="s">
        <v>90</v>
      </c>
      <c r="R8" s="2" t="s">
        <v>90</v>
      </c>
      <c r="S8" s="34"/>
      <c r="T8" s="36" t="s">
        <v>410</v>
      </c>
    </row>
    <row r="9">
      <c r="A9" s="34" t="s">
        <v>475</v>
      </c>
      <c r="B9" s="34" t="s">
        <v>89</v>
      </c>
      <c r="C9" s="2" t="s">
        <v>90</v>
      </c>
      <c r="D9" s="2" t="s">
        <v>90</v>
      </c>
      <c r="E9" s="34"/>
      <c r="F9" s="35" t="s">
        <v>16</v>
      </c>
      <c r="G9" s="34" t="s">
        <v>17</v>
      </c>
      <c r="H9" s="35" t="s">
        <v>15</v>
      </c>
      <c r="I9" s="34" t="s">
        <v>89</v>
      </c>
      <c r="J9" s="34" t="s">
        <v>89</v>
      </c>
      <c r="K9" s="35" t="s">
        <v>89</v>
      </c>
      <c r="L9" s="34"/>
      <c r="M9" s="2" t="s">
        <v>90</v>
      </c>
      <c r="N9" s="2" t="s">
        <v>90</v>
      </c>
      <c r="O9" s="34" t="s">
        <v>89</v>
      </c>
      <c r="Q9" s="2" t="s">
        <v>90</v>
      </c>
      <c r="R9" s="2" t="s">
        <v>90</v>
      </c>
      <c r="S9" s="34"/>
      <c r="T9" s="36" t="s">
        <v>475</v>
      </c>
    </row>
    <row r="10">
      <c r="A10" s="34" t="s">
        <v>476</v>
      </c>
      <c r="B10" s="34" t="s">
        <v>15</v>
      </c>
      <c r="C10" s="2" t="s">
        <v>90</v>
      </c>
      <c r="D10" s="2" t="s">
        <v>90</v>
      </c>
      <c r="E10" s="34"/>
      <c r="F10" s="35" t="s">
        <v>15</v>
      </c>
      <c r="G10" s="34" t="s">
        <v>16</v>
      </c>
      <c r="H10" s="35" t="s">
        <v>16</v>
      </c>
      <c r="I10" s="34" t="s">
        <v>16</v>
      </c>
      <c r="J10" s="34" t="s">
        <v>15</v>
      </c>
      <c r="K10" s="35"/>
      <c r="L10" s="34"/>
      <c r="M10" s="2" t="s">
        <v>90</v>
      </c>
      <c r="N10" s="2" t="s">
        <v>90</v>
      </c>
      <c r="O10" s="34"/>
      <c r="Q10" s="2" t="s">
        <v>90</v>
      </c>
      <c r="R10" s="2" t="s">
        <v>90</v>
      </c>
      <c r="S10" s="34"/>
      <c r="T10" s="36" t="s">
        <v>476</v>
      </c>
    </row>
    <row r="11">
      <c r="A11" s="34" t="s">
        <v>477</v>
      </c>
      <c r="B11" s="34" t="s">
        <v>16</v>
      </c>
      <c r="C11" s="2" t="s">
        <v>90</v>
      </c>
      <c r="D11" s="2" t="s">
        <v>90</v>
      </c>
      <c r="E11" s="34"/>
      <c r="F11" s="35" t="s">
        <v>89</v>
      </c>
      <c r="G11" s="34" t="s">
        <v>89</v>
      </c>
      <c r="H11" s="35" t="s">
        <v>89</v>
      </c>
      <c r="I11" s="34" t="s">
        <v>15</v>
      </c>
      <c r="J11" s="34" t="s">
        <v>89</v>
      </c>
      <c r="K11" s="35" t="s">
        <v>17</v>
      </c>
      <c r="L11" s="34"/>
      <c r="M11" s="2" t="s">
        <v>90</v>
      </c>
      <c r="N11" s="2" t="s">
        <v>90</v>
      </c>
      <c r="O11" s="34"/>
      <c r="Q11" s="2" t="s">
        <v>90</v>
      </c>
      <c r="R11" s="2" t="s">
        <v>90</v>
      </c>
      <c r="S11" s="34"/>
      <c r="T11" s="36" t="s">
        <v>477</v>
      </c>
    </row>
    <row r="12">
      <c r="A12" s="34" t="s">
        <v>477</v>
      </c>
      <c r="B12" s="34" t="s">
        <v>16</v>
      </c>
      <c r="C12" s="2" t="s">
        <v>90</v>
      </c>
      <c r="D12" s="2" t="s">
        <v>90</v>
      </c>
      <c r="E12" s="34"/>
      <c r="F12" s="35" t="s">
        <v>17</v>
      </c>
      <c r="G12" s="34" t="s">
        <v>89</v>
      </c>
      <c r="H12" s="35" t="s">
        <v>89</v>
      </c>
      <c r="I12" s="34" t="s">
        <v>15</v>
      </c>
      <c r="J12" s="34" t="s">
        <v>89</v>
      </c>
      <c r="K12" s="35" t="s">
        <v>89</v>
      </c>
      <c r="L12" s="34"/>
      <c r="M12" s="2" t="s">
        <v>90</v>
      </c>
      <c r="N12" s="2" t="s">
        <v>90</v>
      </c>
      <c r="O12" s="34"/>
      <c r="Q12" s="2" t="s">
        <v>90</v>
      </c>
      <c r="R12" s="2" t="s">
        <v>90</v>
      </c>
      <c r="S12" s="34"/>
      <c r="T12" s="36" t="s">
        <v>477</v>
      </c>
    </row>
    <row r="13">
      <c r="A13" s="34" t="s">
        <v>29</v>
      </c>
      <c r="B13" s="34" t="s">
        <v>15</v>
      </c>
      <c r="C13" s="2" t="s">
        <v>90</v>
      </c>
      <c r="D13" s="2" t="s">
        <v>90</v>
      </c>
      <c r="E13" s="34"/>
      <c r="F13" s="35" t="s">
        <v>16</v>
      </c>
      <c r="G13" s="34"/>
      <c r="H13" s="35"/>
      <c r="I13" s="34"/>
      <c r="J13" s="34" t="s">
        <v>15</v>
      </c>
      <c r="K13" s="35" t="s">
        <v>16</v>
      </c>
      <c r="L13" s="34"/>
      <c r="M13" s="2" t="s">
        <v>90</v>
      </c>
      <c r="N13" s="2" t="s">
        <v>90</v>
      </c>
      <c r="O13" s="34"/>
      <c r="Q13" s="2" t="s">
        <v>90</v>
      </c>
      <c r="R13" s="2" t="s">
        <v>90</v>
      </c>
      <c r="S13" s="34"/>
      <c r="T13" s="36" t="s">
        <v>29</v>
      </c>
    </row>
    <row r="14">
      <c r="A14" s="34" t="s">
        <v>29</v>
      </c>
      <c r="B14" s="34" t="s">
        <v>16</v>
      </c>
      <c r="C14" s="2" t="s">
        <v>90</v>
      </c>
      <c r="D14" s="2" t="s">
        <v>90</v>
      </c>
      <c r="E14" s="34"/>
      <c r="F14" s="35" t="s">
        <v>15</v>
      </c>
      <c r="G14" s="34"/>
      <c r="H14" s="35"/>
      <c r="I14" s="34" t="s">
        <v>16</v>
      </c>
      <c r="J14" s="34" t="s">
        <v>15</v>
      </c>
      <c r="K14" s="35"/>
      <c r="L14" s="34"/>
      <c r="M14" s="2" t="s">
        <v>90</v>
      </c>
      <c r="N14" s="2" t="s">
        <v>90</v>
      </c>
      <c r="O14" s="34"/>
      <c r="Q14" s="2" t="s">
        <v>90</v>
      </c>
      <c r="R14" s="2" t="s">
        <v>90</v>
      </c>
      <c r="S14" s="34"/>
      <c r="T14" s="36" t="s">
        <v>29</v>
      </c>
    </row>
    <row r="15">
      <c r="A15" s="34" t="s">
        <v>478</v>
      </c>
      <c r="B15" s="34" t="s">
        <v>89</v>
      </c>
      <c r="C15" s="2" t="s">
        <v>90</v>
      </c>
      <c r="D15" s="2" t="s">
        <v>90</v>
      </c>
      <c r="E15" s="34"/>
      <c r="F15" s="35" t="s">
        <v>16</v>
      </c>
      <c r="G15" s="34"/>
      <c r="H15" s="35" t="s">
        <v>15</v>
      </c>
      <c r="I15" s="34" t="s">
        <v>89</v>
      </c>
      <c r="J15" s="34" t="s">
        <v>17</v>
      </c>
      <c r="K15" s="35" t="s">
        <v>89</v>
      </c>
      <c r="L15" s="34"/>
      <c r="M15" s="2" t="s">
        <v>90</v>
      </c>
      <c r="N15" s="2" t="s">
        <v>90</v>
      </c>
      <c r="O15" s="34"/>
      <c r="Q15" s="2" t="s">
        <v>90</v>
      </c>
      <c r="R15" s="2" t="s">
        <v>90</v>
      </c>
      <c r="S15" s="34"/>
      <c r="T15" s="36" t="s">
        <v>478</v>
      </c>
    </row>
    <row r="16">
      <c r="A16" s="34" t="s">
        <v>473</v>
      </c>
      <c r="B16" s="34" t="s">
        <v>15</v>
      </c>
      <c r="C16" s="2" t="s">
        <v>90</v>
      </c>
      <c r="D16" s="2" t="s">
        <v>90</v>
      </c>
      <c r="E16" s="34" t="s">
        <v>16</v>
      </c>
      <c r="F16" s="35" t="s">
        <v>15</v>
      </c>
      <c r="G16" s="34" t="s">
        <v>16</v>
      </c>
      <c r="H16" s="35" t="s">
        <v>16</v>
      </c>
      <c r="I16" s="34" t="s">
        <v>16</v>
      </c>
      <c r="J16" s="34" t="s">
        <v>15</v>
      </c>
      <c r="K16" s="35" t="s">
        <v>15</v>
      </c>
      <c r="L16" s="34"/>
      <c r="M16" s="2" t="s">
        <v>90</v>
      </c>
      <c r="N16" s="2" t="s">
        <v>90</v>
      </c>
      <c r="O16" s="34"/>
      <c r="Q16" s="2" t="s">
        <v>90</v>
      </c>
      <c r="R16" s="2" t="s">
        <v>90</v>
      </c>
      <c r="S16" s="34" t="s">
        <v>15</v>
      </c>
      <c r="T16" s="36" t="s">
        <v>473</v>
      </c>
    </row>
    <row r="17">
      <c r="A17" s="34" t="s">
        <v>479</v>
      </c>
      <c r="B17" s="34" t="s">
        <v>16</v>
      </c>
      <c r="C17" s="2" t="s">
        <v>90</v>
      </c>
      <c r="D17" s="2" t="s">
        <v>90</v>
      </c>
      <c r="E17" s="34"/>
      <c r="F17" s="35" t="s">
        <v>15</v>
      </c>
      <c r="G17" s="34"/>
      <c r="H17" s="35"/>
      <c r="I17" s="34" t="s">
        <v>17</v>
      </c>
      <c r="J17" s="34" t="s">
        <v>480</v>
      </c>
      <c r="K17" s="35"/>
      <c r="L17" s="34"/>
      <c r="M17" s="2" t="s">
        <v>90</v>
      </c>
      <c r="N17" s="2" t="s">
        <v>90</v>
      </c>
      <c r="O17" s="34"/>
      <c r="Q17" s="2" t="s">
        <v>90</v>
      </c>
      <c r="R17" s="2" t="s">
        <v>90</v>
      </c>
      <c r="S17" s="34"/>
      <c r="T17" s="36" t="s">
        <v>479</v>
      </c>
    </row>
    <row r="18">
      <c r="A18" s="34" t="s">
        <v>33</v>
      </c>
      <c r="B18" s="34" t="s">
        <v>89</v>
      </c>
      <c r="C18" s="2" t="s">
        <v>90</v>
      </c>
      <c r="D18" s="2" t="s">
        <v>90</v>
      </c>
      <c r="E18" s="34" t="s">
        <v>89</v>
      </c>
      <c r="F18" s="35" t="s">
        <v>16</v>
      </c>
      <c r="G18" s="34" t="s">
        <v>89</v>
      </c>
      <c r="H18" s="35" t="s">
        <v>17</v>
      </c>
      <c r="I18" s="34" t="s">
        <v>15</v>
      </c>
      <c r="J18" s="34" t="s">
        <v>89</v>
      </c>
      <c r="K18" s="35" t="s">
        <v>89</v>
      </c>
      <c r="L18" s="34"/>
      <c r="M18" s="2" t="s">
        <v>90</v>
      </c>
      <c r="N18" s="2" t="s">
        <v>90</v>
      </c>
      <c r="O18" s="34"/>
      <c r="Q18" s="2" t="s">
        <v>90</v>
      </c>
      <c r="R18" s="2" t="s">
        <v>90</v>
      </c>
      <c r="S18" s="34" t="s">
        <v>89</v>
      </c>
      <c r="T18" s="36" t="s">
        <v>33</v>
      </c>
    </row>
    <row r="19">
      <c r="A19" s="34" t="s">
        <v>39</v>
      </c>
      <c r="B19" s="34" t="s">
        <v>16</v>
      </c>
      <c r="C19" s="2" t="s">
        <v>90</v>
      </c>
      <c r="D19" s="2" t="s">
        <v>90</v>
      </c>
      <c r="E19" s="34" t="s">
        <v>15</v>
      </c>
      <c r="F19" s="35" t="s">
        <v>16</v>
      </c>
      <c r="G19" s="34" t="s">
        <v>15</v>
      </c>
      <c r="H19" s="35" t="s">
        <v>15</v>
      </c>
      <c r="I19" s="34" t="s">
        <v>16</v>
      </c>
      <c r="J19" s="34" t="s">
        <v>15</v>
      </c>
      <c r="K19" s="35" t="s">
        <v>16</v>
      </c>
      <c r="L19" s="34"/>
      <c r="M19" s="2" t="s">
        <v>90</v>
      </c>
      <c r="N19" s="2" t="s">
        <v>90</v>
      </c>
      <c r="O19" s="34"/>
      <c r="Q19" s="2" t="s">
        <v>90</v>
      </c>
      <c r="R19" s="2" t="s">
        <v>90</v>
      </c>
      <c r="S19" s="34"/>
      <c r="T19" s="36" t="s">
        <v>39</v>
      </c>
    </row>
    <row r="20">
      <c r="A20" s="34" t="s">
        <v>481</v>
      </c>
      <c r="B20" s="34" t="s">
        <v>89</v>
      </c>
      <c r="C20" s="2" t="s">
        <v>90</v>
      </c>
      <c r="D20" s="2" t="s">
        <v>90</v>
      </c>
      <c r="E20" s="34" t="s">
        <v>16</v>
      </c>
      <c r="F20" s="35" t="s">
        <v>15</v>
      </c>
      <c r="G20" s="34" t="s">
        <v>89</v>
      </c>
      <c r="H20" s="35" t="s">
        <v>89</v>
      </c>
      <c r="I20" s="34" t="s">
        <v>17</v>
      </c>
      <c r="J20" s="34" t="s">
        <v>89</v>
      </c>
      <c r="K20" s="35" t="s">
        <v>89</v>
      </c>
      <c r="L20" s="34"/>
      <c r="M20" s="2" t="s">
        <v>90</v>
      </c>
      <c r="N20" s="2" t="s">
        <v>90</v>
      </c>
      <c r="O20" s="34"/>
      <c r="Q20" s="2" t="s">
        <v>90</v>
      </c>
      <c r="R20" s="2" t="s">
        <v>90</v>
      </c>
      <c r="S20" s="34"/>
      <c r="T20" s="36" t="s">
        <v>481</v>
      </c>
    </row>
    <row r="21" ht="15.75" customHeight="1">
      <c r="A21" s="34" t="s">
        <v>196</v>
      </c>
      <c r="B21" s="34" t="s">
        <v>89</v>
      </c>
      <c r="C21" s="2" t="s">
        <v>90</v>
      </c>
      <c r="D21" s="2" t="s">
        <v>90</v>
      </c>
      <c r="E21" s="34" t="s">
        <v>16</v>
      </c>
      <c r="F21" s="35" t="s">
        <v>16</v>
      </c>
      <c r="G21" s="34"/>
      <c r="H21" s="35"/>
      <c r="I21" s="34" t="s">
        <v>480</v>
      </c>
      <c r="J21" s="34" t="s">
        <v>16</v>
      </c>
      <c r="K21" s="35"/>
      <c r="L21" s="34"/>
      <c r="M21" s="2" t="s">
        <v>90</v>
      </c>
      <c r="N21" s="2" t="s">
        <v>90</v>
      </c>
      <c r="O21" s="34"/>
      <c r="Q21" s="2" t="s">
        <v>90</v>
      </c>
      <c r="R21" s="2" t="s">
        <v>90</v>
      </c>
      <c r="S21" s="34"/>
      <c r="T21" s="36" t="s">
        <v>196</v>
      </c>
    </row>
    <row r="22" ht="15.75" customHeight="1">
      <c r="A22" s="34" t="s">
        <v>377</v>
      </c>
      <c r="B22" s="34" t="s">
        <v>16</v>
      </c>
      <c r="C22" s="2" t="s">
        <v>90</v>
      </c>
      <c r="D22" s="2" t="s">
        <v>90</v>
      </c>
      <c r="E22" s="34" t="s">
        <v>89</v>
      </c>
      <c r="F22" s="35" t="s">
        <v>16</v>
      </c>
      <c r="G22" s="34" t="s">
        <v>16</v>
      </c>
      <c r="H22" s="35" t="s">
        <v>89</v>
      </c>
      <c r="I22" s="34" t="s">
        <v>89</v>
      </c>
      <c r="J22" s="34" t="s">
        <v>89</v>
      </c>
      <c r="K22" s="35" t="s">
        <v>89</v>
      </c>
      <c r="L22" s="34"/>
      <c r="M22" s="2" t="s">
        <v>90</v>
      </c>
      <c r="N22" s="2" t="s">
        <v>90</v>
      </c>
      <c r="O22" s="34"/>
      <c r="Q22" s="2" t="s">
        <v>90</v>
      </c>
      <c r="R22" s="2" t="s">
        <v>90</v>
      </c>
      <c r="S22" s="34" t="s">
        <v>16</v>
      </c>
      <c r="T22" s="36" t="s">
        <v>377</v>
      </c>
    </row>
    <row r="23" ht="15.75" customHeight="1">
      <c r="A23" s="37" t="s">
        <v>482</v>
      </c>
      <c r="B23" s="34" t="s">
        <v>17</v>
      </c>
      <c r="C23" s="2" t="s">
        <v>90</v>
      </c>
      <c r="D23" s="2" t="s">
        <v>90</v>
      </c>
      <c r="E23" s="34" t="s">
        <v>15</v>
      </c>
      <c r="F23" s="35" t="s">
        <v>16</v>
      </c>
      <c r="G23" s="34" t="s">
        <v>17</v>
      </c>
      <c r="H23" s="35" t="s">
        <v>17</v>
      </c>
      <c r="I23" s="34" t="s">
        <v>89</v>
      </c>
      <c r="J23" s="34" t="s">
        <v>89</v>
      </c>
      <c r="K23" s="35" t="s">
        <v>17</v>
      </c>
      <c r="L23" s="34"/>
      <c r="M23" s="2" t="s">
        <v>90</v>
      </c>
      <c r="N23" s="2" t="s">
        <v>90</v>
      </c>
      <c r="O23" s="34"/>
      <c r="Q23" s="2" t="s">
        <v>90</v>
      </c>
      <c r="R23" s="2" t="s">
        <v>90</v>
      </c>
      <c r="S23" s="34" t="s">
        <v>15</v>
      </c>
      <c r="T23" s="36" t="s">
        <v>483</v>
      </c>
    </row>
    <row r="24" ht="15.75" customHeight="1">
      <c r="A24" s="34" t="s">
        <v>484</v>
      </c>
      <c r="B24" s="34" t="s">
        <v>16</v>
      </c>
      <c r="C24" s="2" t="s">
        <v>90</v>
      </c>
      <c r="D24" s="2" t="s">
        <v>90</v>
      </c>
      <c r="E24" s="34" t="s">
        <v>15</v>
      </c>
      <c r="F24" s="35" t="s">
        <v>89</v>
      </c>
      <c r="G24" s="34" t="s">
        <v>89</v>
      </c>
      <c r="H24" s="35"/>
      <c r="I24" s="34" t="s">
        <v>89</v>
      </c>
      <c r="J24" s="34" t="s">
        <v>17</v>
      </c>
      <c r="K24" s="35"/>
      <c r="L24" s="34"/>
      <c r="M24" s="2" t="s">
        <v>90</v>
      </c>
      <c r="N24" s="2" t="s">
        <v>90</v>
      </c>
      <c r="O24" s="34"/>
      <c r="Q24" s="2" t="s">
        <v>90</v>
      </c>
      <c r="R24" s="2" t="s">
        <v>90</v>
      </c>
      <c r="S24" s="34"/>
      <c r="T24" s="36" t="s">
        <v>484</v>
      </c>
    </row>
    <row r="25" ht="15.75" customHeight="1">
      <c r="A25" s="34" t="s">
        <v>485</v>
      </c>
      <c r="B25" s="34" t="s">
        <v>89</v>
      </c>
      <c r="C25" s="2" t="s">
        <v>90</v>
      </c>
      <c r="D25" s="2" t="s">
        <v>90</v>
      </c>
      <c r="E25" s="34" t="s">
        <v>89</v>
      </c>
      <c r="F25" s="35" t="s">
        <v>15</v>
      </c>
      <c r="G25" s="34" t="s">
        <v>89</v>
      </c>
      <c r="H25" s="35" t="s">
        <v>17</v>
      </c>
      <c r="I25" s="34" t="s">
        <v>89</v>
      </c>
      <c r="J25" s="34" t="s">
        <v>16</v>
      </c>
      <c r="K25" s="35"/>
      <c r="L25" s="34"/>
      <c r="M25" s="2" t="s">
        <v>90</v>
      </c>
      <c r="N25" s="2" t="s">
        <v>90</v>
      </c>
      <c r="O25" s="34"/>
      <c r="Q25" s="2" t="s">
        <v>90</v>
      </c>
      <c r="R25" s="2" t="s">
        <v>90</v>
      </c>
      <c r="S25" s="34" t="s">
        <v>89</v>
      </c>
      <c r="T25" s="36" t="s">
        <v>485</v>
      </c>
    </row>
    <row r="26" ht="15.75" customHeight="1">
      <c r="A26" s="34" t="s">
        <v>486</v>
      </c>
      <c r="B26" s="34" t="s">
        <v>89</v>
      </c>
      <c r="C26" s="2" t="s">
        <v>90</v>
      </c>
      <c r="D26" s="2" t="s">
        <v>90</v>
      </c>
      <c r="E26" s="34" t="s">
        <v>17</v>
      </c>
      <c r="F26" s="35" t="s">
        <v>16</v>
      </c>
      <c r="G26" s="34" t="s">
        <v>89</v>
      </c>
      <c r="H26" s="35" t="s">
        <v>15</v>
      </c>
      <c r="I26" s="34" t="s">
        <v>17</v>
      </c>
      <c r="J26" s="34" t="s">
        <v>89</v>
      </c>
      <c r="K26" s="35"/>
      <c r="L26" s="34" t="s">
        <v>15</v>
      </c>
      <c r="M26" s="2" t="s">
        <v>90</v>
      </c>
      <c r="N26" s="2" t="s">
        <v>90</v>
      </c>
      <c r="O26" s="34"/>
      <c r="Q26" s="2" t="s">
        <v>90</v>
      </c>
      <c r="R26" s="2" t="s">
        <v>90</v>
      </c>
      <c r="S26" s="34" t="s">
        <v>17</v>
      </c>
      <c r="T26" s="36" t="s">
        <v>486</v>
      </c>
    </row>
    <row r="27" ht="15.75" customHeight="1">
      <c r="A27" s="34" t="s">
        <v>487</v>
      </c>
      <c r="B27" s="34" t="s">
        <v>89</v>
      </c>
      <c r="C27" s="2" t="s">
        <v>90</v>
      </c>
      <c r="D27" s="2" t="s">
        <v>90</v>
      </c>
      <c r="E27" s="34" t="s">
        <v>89</v>
      </c>
      <c r="F27" s="35" t="s">
        <v>89</v>
      </c>
      <c r="G27" s="34"/>
      <c r="H27" s="35" t="s">
        <v>16</v>
      </c>
      <c r="I27" s="34" t="s">
        <v>16</v>
      </c>
      <c r="J27" s="34" t="s">
        <v>89</v>
      </c>
      <c r="K27" s="35"/>
      <c r="L27" s="34"/>
      <c r="M27" s="2" t="s">
        <v>90</v>
      </c>
      <c r="N27" s="2" t="s">
        <v>90</v>
      </c>
      <c r="O27" s="34"/>
      <c r="Q27" s="2" t="s">
        <v>90</v>
      </c>
      <c r="R27" s="2" t="s">
        <v>90</v>
      </c>
      <c r="S27" s="34"/>
      <c r="T27" s="36" t="s">
        <v>487</v>
      </c>
    </row>
    <row r="28" ht="15.75" customHeight="1">
      <c r="A28" s="34" t="s">
        <v>488</v>
      </c>
      <c r="B28" s="34" t="s">
        <v>16</v>
      </c>
      <c r="C28" s="2" t="s">
        <v>90</v>
      </c>
      <c r="D28" s="2" t="s">
        <v>90</v>
      </c>
      <c r="E28" s="34" t="s">
        <v>15</v>
      </c>
      <c r="F28" s="35" t="s">
        <v>15</v>
      </c>
      <c r="G28" s="34" t="s">
        <v>89</v>
      </c>
      <c r="H28" s="35" t="s">
        <v>89</v>
      </c>
      <c r="I28" s="34" t="s">
        <v>89</v>
      </c>
      <c r="J28" s="34" t="s">
        <v>89</v>
      </c>
      <c r="K28" s="35"/>
      <c r="L28" s="34"/>
      <c r="M28" s="2" t="s">
        <v>90</v>
      </c>
      <c r="N28" s="2" t="s">
        <v>90</v>
      </c>
      <c r="O28" s="34"/>
      <c r="Q28" s="2" t="s">
        <v>90</v>
      </c>
      <c r="R28" s="2" t="s">
        <v>90</v>
      </c>
      <c r="S28" s="34" t="s">
        <v>89</v>
      </c>
      <c r="T28" s="36" t="s">
        <v>488</v>
      </c>
    </row>
    <row r="29" ht="15.75" customHeight="1">
      <c r="A29" s="34" t="s">
        <v>31</v>
      </c>
      <c r="B29" s="34" t="s">
        <v>17</v>
      </c>
      <c r="C29" s="2" t="s">
        <v>90</v>
      </c>
      <c r="D29" s="2" t="s">
        <v>90</v>
      </c>
      <c r="E29" s="34" t="s">
        <v>16</v>
      </c>
      <c r="F29" s="35" t="s">
        <v>89</v>
      </c>
      <c r="G29" s="34" t="s">
        <v>89</v>
      </c>
      <c r="H29" s="35" t="s">
        <v>17</v>
      </c>
      <c r="I29" s="34" t="s">
        <v>89</v>
      </c>
      <c r="J29" s="34" t="s">
        <v>15</v>
      </c>
      <c r="K29" s="35"/>
      <c r="L29" s="34"/>
      <c r="M29" s="2" t="s">
        <v>90</v>
      </c>
      <c r="N29" s="2" t="s">
        <v>90</v>
      </c>
      <c r="O29" s="34"/>
      <c r="Q29" s="2" t="s">
        <v>90</v>
      </c>
      <c r="R29" s="2" t="s">
        <v>90</v>
      </c>
      <c r="S29" s="34" t="s">
        <v>89</v>
      </c>
      <c r="T29" s="36" t="s">
        <v>31</v>
      </c>
    </row>
    <row r="30" ht="15.75" customHeight="1">
      <c r="A30" s="34" t="s">
        <v>489</v>
      </c>
      <c r="B30" s="34" t="s">
        <v>16</v>
      </c>
      <c r="C30" s="2" t="s">
        <v>90</v>
      </c>
      <c r="D30" s="2" t="s">
        <v>90</v>
      </c>
      <c r="E30" s="34" t="s">
        <v>15</v>
      </c>
      <c r="F30" s="35" t="s">
        <v>89</v>
      </c>
      <c r="G30" s="34" t="s">
        <v>15</v>
      </c>
      <c r="H30" s="35" t="s">
        <v>89</v>
      </c>
      <c r="I30" s="34" t="s">
        <v>89</v>
      </c>
      <c r="J30" s="34" t="s">
        <v>89</v>
      </c>
      <c r="K30" s="35"/>
      <c r="L30" s="34" t="s">
        <v>89</v>
      </c>
      <c r="M30" s="2" t="s">
        <v>90</v>
      </c>
      <c r="N30" s="2" t="s">
        <v>90</v>
      </c>
      <c r="O30" s="34"/>
      <c r="Q30" s="2" t="s">
        <v>90</v>
      </c>
      <c r="R30" s="2" t="s">
        <v>90</v>
      </c>
      <c r="S30" s="34" t="s">
        <v>89</v>
      </c>
      <c r="T30" s="36" t="s">
        <v>489</v>
      </c>
    </row>
    <row r="31" ht="15.75" customHeight="1">
      <c r="A31" s="34" t="s">
        <v>211</v>
      </c>
      <c r="B31" s="34" t="s">
        <v>16</v>
      </c>
      <c r="C31" s="2" t="s">
        <v>90</v>
      </c>
      <c r="D31" s="2" t="s">
        <v>90</v>
      </c>
      <c r="F31" s="35" t="s">
        <v>15</v>
      </c>
      <c r="G31" s="34" t="s">
        <v>17</v>
      </c>
      <c r="H31" s="35" t="s">
        <v>89</v>
      </c>
      <c r="I31" s="34" t="s">
        <v>89</v>
      </c>
      <c r="J31" s="34" t="s">
        <v>89</v>
      </c>
      <c r="K31" s="35"/>
      <c r="L31" s="34" t="s">
        <v>89</v>
      </c>
      <c r="M31" s="2" t="s">
        <v>90</v>
      </c>
      <c r="N31" s="2" t="s">
        <v>90</v>
      </c>
      <c r="O31" s="34"/>
      <c r="Q31" s="2" t="s">
        <v>90</v>
      </c>
      <c r="R31" s="2" t="s">
        <v>90</v>
      </c>
      <c r="S31" s="34"/>
      <c r="T31" s="36" t="s">
        <v>490</v>
      </c>
    </row>
    <row r="32" ht="15.75" customHeight="1">
      <c r="A32" s="34" t="s">
        <v>491</v>
      </c>
      <c r="B32" s="34" t="s">
        <v>16</v>
      </c>
      <c r="C32" s="2" t="s">
        <v>90</v>
      </c>
      <c r="D32" s="2" t="s">
        <v>90</v>
      </c>
      <c r="F32" s="35" t="s">
        <v>17</v>
      </c>
      <c r="G32" s="34" t="s">
        <v>89</v>
      </c>
      <c r="H32" s="35" t="s">
        <v>89</v>
      </c>
      <c r="I32" s="34" t="s">
        <v>15</v>
      </c>
      <c r="J32" s="34" t="s">
        <v>89</v>
      </c>
      <c r="K32" s="35"/>
      <c r="L32" s="34" t="s">
        <v>89</v>
      </c>
      <c r="M32" s="2" t="s">
        <v>90</v>
      </c>
      <c r="N32" s="2" t="s">
        <v>90</v>
      </c>
      <c r="O32" s="34"/>
      <c r="Q32" s="2" t="s">
        <v>90</v>
      </c>
      <c r="R32" s="2" t="s">
        <v>90</v>
      </c>
      <c r="S32" s="34"/>
      <c r="T32" s="36" t="s">
        <v>491</v>
      </c>
    </row>
    <row r="33" ht="15.75" customHeight="1">
      <c r="A33" s="34" t="s">
        <v>92</v>
      </c>
      <c r="B33" s="34" t="s">
        <v>89</v>
      </c>
      <c r="C33" s="2" t="s">
        <v>90</v>
      </c>
      <c r="D33" s="2" t="s">
        <v>90</v>
      </c>
      <c r="F33" s="35" t="s">
        <v>16</v>
      </c>
      <c r="G33" s="34" t="s">
        <v>89</v>
      </c>
      <c r="H33" s="35" t="s">
        <v>15</v>
      </c>
      <c r="I33" s="34" t="s">
        <v>89</v>
      </c>
      <c r="J33" s="34" t="s">
        <v>89</v>
      </c>
      <c r="K33" s="35"/>
      <c r="L33" s="34"/>
      <c r="M33" s="2" t="s">
        <v>90</v>
      </c>
      <c r="N33" s="2" t="s">
        <v>90</v>
      </c>
      <c r="O33" s="34"/>
      <c r="Q33" s="2" t="s">
        <v>90</v>
      </c>
      <c r="R33" s="2" t="s">
        <v>90</v>
      </c>
      <c r="S33" s="34"/>
      <c r="T33" s="36" t="s">
        <v>92</v>
      </c>
    </row>
    <row r="34" ht="15.75" customHeight="1">
      <c r="A34" s="34" t="s">
        <v>92</v>
      </c>
      <c r="B34" s="34" t="s">
        <v>15</v>
      </c>
      <c r="C34" s="2" t="s">
        <v>90</v>
      </c>
      <c r="D34" s="2" t="s">
        <v>90</v>
      </c>
      <c r="F34" s="35" t="s">
        <v>16</v>
      </c>
      <c r="G34" s="34" t="s">
        <v>16</v>
      </c>
      <c r="H34" s="35" t="s">
        <v>15</v>
      </c>
      <c r="I34" s="34" t="s">
        <v>15</v>
      </c>
      <c r="J34" s="34" t="s">
        <v>16</v>
      </c>
      <c r="K34" s="35"/>
      <c r="L34" s="34"/>
      <c r="M34" s="2" t="s">
        <v>90</v>
      </c>
      <c r="N34" s="2" t="s">
        <v>90</v>
      </c>
      <c r="O34" s="34"/>
      <c r="Q34" s="2" t="s">
        <v>90</v>
      </c>
      <c r="R34" s="2" t="s">
        <v>90</v>
      </c>
      <c r="S34" s="34"/>
      <c r="T34" s="36" t="s">
        <v>92</v>
      </c>
    </row>
    <row r="35" ht="15.75" customHeight="1">
      <c r="A35" s="34" t="s">
        <v>492</v>
      </c>
      <c r="B35" s="34" t="s">
        <v>16</v>
      </c>
      <c r="C35" s="2" t="s">
        <v>90</v>
      </c>
      <c r="D35" s="2" t="s">
        <v>90</v>
      </c>
      <c r="F35" s="35" t="s">
        <v>15</v>
      </c>
      <c r="G35" s="34" t="s">
        <v>16</v>
      </c>
      <c r="H35" s="35" t="s">
        <v>15</v>
      </c>
      <c r="I35" s="34" t="s">
        <v>89</v>
      </c>
      <c r="J35" s="34" t="s">
        <v>15</v>
      </c>
      <c r="K35" s="35"/>
      <c r="L35" s="34" t="s">
        <v>15</v>
      </c>
      <c r="M35" s="2" t="s">
        <v>90</v>
      </c>
      <c r="N35" s="2" t="s">
        <v>90</v>
      </c>
      <c r="O35" s="34"/>
      <c r="Q35" s="2" t="s">
        <v>90</v>
      </c>
      <c r="R35" s="2" t="s">
        <v>90</v>
      </c>
      <c r="S35" s="34"/>
      <c r="T35" s="36" t="s">
        <v>492</v>
      </c>
    </row>
    <row r="36" ht="15.75" customHeight="1">
      <c r="A36" s="34" t="s">
        <v>493</v>
      </c>
      <c r="B36" s="34" t="s">
        <v>89</v>
      </c>
      <c r="C36" s="2" t="s">
        <v>90</v>
      </c>
      <c r="D36" s="2" t="s">
        <v>90</v>
      </c>
      <c r="F36" s="35" t="s">
        <v>16</v>
      </c>
      <c r="G36" s="34"/>
      <c r="H36" s="35"/>
      <c r="I36" s="34" t="s">
        <v>15</v>
      </c>
      <c r="J36" s="34" t="s">
        <v>17</v>
      </c>
      <c r="K36" s="35"/>
      <c r="L36" s="34"/>
      <c r="M36" s="2" t="s">
        <v>90</v>
      </c>
      <c r="N36" s="2" t="s">
        <v>90</v>
      </c>
      <c r="O36" s="34"/>
      <c r="Q36" s="2" t="s">
        <v>90</v>
      </c>
      <c r="R36" s="2" t="s">
        <v>90</v>
      </c>
      <c r="S36" s="34"/>
      <c r="T36" s="36" t="s">
        <v>493</v>
      </c>
    </row>
    <row r="37" ht="15.75" customHeight="1">
      <c r="A37" s="34" t="s">
        <v>494</v>
      </c>
      <c r="B37" s="34" t="s">
        <v>17</v>
      </c>
      <c r="C37" s="2" t="s">
        <v>90</v>
      </c>
      <c r="D37" s="2" t="s">
        <v>90</v>
      </c>
      <c r="F37" s="35" t="s">
        <v>16</v>
      </c>
      <c r="G37" s="34"/>
      <c r="H37" s="35"/>
      <c r="I37" s="34" t="s">
        <v>16</v>
      </c>
      <c r="J37" s="34" t="s">
        <v>89</v>
      </c>
      <c r="K37" s="35"/>
      <c r="L37" s="34"/>
      <c r="M37" s="2" t="s">
        <v>90</v>
      </c>
      <c r="N37" s="2" t="s">
        <v>90</v>
      </c>
      <c r="O37" s="34"/>
      <c r="Q37" s="2" t="s">
        <v>90</v>
      </c>
      <c r="R37" s="2" t="s">
        <v>90</v>
      </c>
      <c r="S37" s="34"/>
      <c r="T37" s="36" t="s">
        <v>495</v>
      </c>
    </row>
    <row r="38" ht="15.75" customHeight="1">
      <c r="A38" s="34" t="s">
        <v>496</v>
      </c>
      <c r="B38" s="34" t="s">
        <v>17</v>
      </c>
      <c r="C38" s="2" t="s">
        <v>90</v>
      </c>
      <c r="D38" s="2" t="s">
        <v>90</v>
      </c>
      <c r="F38" s="35" t="s">
        <v>16</v>
      </c>
      <c r="G38" s="34"/>
      <c r="H38" s="35"/>
      <c r="I38" s="34" t="s">
        <v>16</v>
      </c>
      <c r="J38" s="34" t="s">
        <v>89</v>
      </c>
      <c r="K38" s="35"/>
      <c r="L38" s="34"/>
      <c r="M38" s="2" t="s">
        <v>90</v>
      </c>
      <c r="N38" s="2" t="s">
        <v>90</v>
      </c>
      <c r="O38" s="34"/>
      <c r="Q38" s="2" t="s">
        <v>90</v>
      </c>
      <c r="R38" s="2" t="s">
        <v>90</v>
      </c>
      <c r="S38" s="34"/>
      <c r="T38" s="36" t="s">
        <v>496</v>
      </c>
    </row>
    <row r="39" ht="15.75" customHeight="1">
      <c r="A39" s="34" t="s">
        <v>201</v>
      </c>
      <c r="B39" s="34" t="s">
        <v>16</v>
      </c>
      <c r="C39" s="2" t="s">
        <v>90</v>
      </c>
      <c r="D39" s="2" t="s">
        <v>90</v>
      </c>
      <c r="F39" s="35" t="s">
        <v>15</v>
      </c>
      <c r="G39" s="34" t="s">
        <v>89</v>
      </c>
      <c r="H39" s="35" t="s">
        <v>89</v>
      </c>
      <c r="I39" s="34" t="s">
        <v>17</v>
      </c>
      <c r="J39" s="34" t="s">
        <v>89</v>
      </c>
      <c r="K39" s="35"/>
      <c r="L39" s="34" t="s">
        <v>89</v>
      </c>
      <c r="M39" s="2" t="s">
        <v>90</v>
      </c>
      <c r="N39" s="2" t="s">
        <v>90</v>
      </c>
      <c r="O39" s="34"/>
      <c r="Q39" s="2" t="s">
        <v>90</v>
      </c>
      <c r="R39" s="2" t="s">
        <v>90</v>
      </c>
      <c r="S39" s="34"/>
      <c r="T39" s="36" t="s">
        <v>201</v>
      </c>
    </row>
    <row r="40" ht="15.75" customHeight="1">
      <c r="A40" s="34" t="s">
        <v>497</v>
      </c>
      <c r="B40" s="34" t="s">
        <v>17</v>
      </c>
      <c r="C40" s="2" t="s">
        <v>90</v>
      </c>
      <c r="D40" s="2" t="s">
        <v>90</v>
      </c>
      <c r="F40" s="35" t="s">
        <v>16</v>
      </c>
      <c r="G40" s="34"/>
      <c r="H40" s="35" t="s">
        <v>89</v>
      </c>
      <c r="I40" s="34" t="s">
        <v>15</v>
      </c>
      <c r="J40" s="34" t="s">
        <v>16</v>
      </c>
      <c r="K40" s="35"/>
      <c r="L40" s="34" t="s">
        <v>89</v>
      </c>
      <c r="M40" s="2" t="s">
        <v>90</v>
      </c>
      <c r="N40" s="2" t="s">
        <v>90</v>
      </c>
      <c r="O40" s="34" t="s">
        <v>89</v>
      </c>
      <c r="Q40" s="2" t="s">
        <v>90</v>
      </c>
      <c r="R40" s="2" t="s">
        <v>90</v>
      </c>
      <c r="S40" s="34"/>
      <c r="T40" s="36" t="s">
        <v>497</v>
      </c>
    </row>
    <row r="41" ht="15.75" customHeight="1">
      <c r="A41" s="34" t="s">
        <v>498</v>
      </c>
      <c r="B41" s="34" t="s">
        <v>16</v>
      </c>
      <c r="C41" s="2" t="s">
        <v>90</v>
      </c>
      <c r="D41" s="2" t="s">
        <v>90</v>
      </c>
      <c r="F41" s="35" t="s">
        <v>15</v>
      </c>
      <c r="G41" s="34" t="s">
        <v>89</v>
      </c>
      <c r="H41" s="35" t="s">
        <v>89</v>
      </c>
      <c r="I41" s="34" t="s">
        <v>17</v>
      </c>
      <c r="J41" s="34" t="s">
        <v>89</v>
      </c>
      <c r="K41" s="35"/>
      <c r="L41" s="34" t="s">
        <v>89</v>
      </c>
      <c r="M41" s="2" t="s">
        <v>90</v>
      </c>
      <c r="N41" s="2" t="s">
        <v>90</v>
      </c>
      <c r="O41" s="34"/>
      <c r="Q41" s="2" t="s">
        <v>90</v>
      </c>
      <c r="R41" s="2" t="s">
        <v>90</v>
      </c>
      <c r="S41" s="34"/>
      <c r="T41" s="36" t="s">
        <v>498</v>
      </c>
    </row>
    <row r="42" ht="15.75" customHeight="1">
      <c r="A42" s="34" t="s">
        <v>499</v>
      </c>
      <c r="B42" s="34" t="s">
        <v>17</v>
      </c>
      <c r="C42" s="2" t="s">
        <v>90</v>
      </c>
      <c r="D42" s="2" t="s">
        <v>90</v>
      </c>
      <c r="F42" s="35" t="s">
        <v>89</v>
      </c>
      <c r="G42" s="34" t="s">
        <v>15</v>
      </c>
      <c r="H42" s="35" t="s">
        <v>89</v>
      </c>
      <c r="I42" s="34" t="s">
        <v>89</v>
      </c>
      <c r="J42" s="34" t="s">
        <v>89</v>
      </c>
      <c r="K42" s="35"/>
      <c r="L42" s="34" t="s">
        <v>16</v>
      </c>
      <c r="M42" s="2" t="s">
        <v>90</v>
      </c>
      <c r="N42" s="2" t="s">
        <v>90</v>
      </c>
      <c r="O42" s="34" t="s">
        <v>89</v>
      </c>
      <c r="Q42" s="2" t="s">
        <v>90</v>
      </c>
      <c r="R42" s="2" t="s">
        <v>90</v>
      </c>
      <c r="S42" s="34"/>
      <c r="T42" s="36" t="s">
        <v>499</v>
      </c>
    </row>
    <row r="43" ht="15.75" customHeight="1">
      <c r="A43" s="34" t="s">
        <v>500</v>
      </c>
      <c r="B43" s="34" t="s">
        <v>17</v>
      </c>
      <c r="C43" s="2" t="s">
        <v>90</v>
      </c>
      <c r="D43" s="2" t="s">
        <v>90</v>
      </c>
      <c r="F43" s="35" t="s">
        <v>15</v>
      </c>
      <c r="G43" s="34" t="s">
        <v>16</v>
      </c>
      <c r="H43" s="35" t="s">
        <v>17</v>
      </c>
      <c r="I43" s="34" t="s">
        <v>16</v>
      </c>
      <c r="J43" s="34" t="s">
        <v>15</v>
      </c>
      <c r="K43" s="35"/>
      <c r="L43" s="34" t="s">
        <v>17</v>
      </c>
      <c r="M43" s="2" t="s">
        <v>90</v>
      </c>
      <c r="N43" s="2" t="s">
        <v>90</v>
      </c>
      <c r="O43" s="34"/>
      <c r="Q43" s="2" t="s">
        <v>90</v>
      </c>
      <c r="R43" s="2" t="s">
        <v>90</v>
      </c>
      <c r="S43" s="34"/>
      <c r="T43" s="36" t="s">
        <v>500</v>
      </c>
    </row>
    <row r="44" ht="15.75" customHeight="1">
      <c r="A44" s="34" t="s">
        <v>27</v>
      </c>
      <c r="B44" s="34" t="s">
        <v>16</v>
      </c>
      <c r="C44" s="2" t="s">
        <v>90</v>
      </c>
      <c r="D44" s="2" t="s">
        <v>90</v>
      </c>
      <c r="F44" s="35" t="s">
        <v>89</v>
      </c>
      <c r="G44" s="34" t="s">
        <v>16</v>
      </c>
      <c r="H44" s="35" t="s">
        <v>89</v>
      </c>
      <c r="I44" s="34" t="s">
        <v>15</v>
      </c>
      <c r="J44" s="34" t="s">
        <v>89</v>
      </c>
      <c r="K44" s="35"/>
      <c r="L44" s="34" t="s">
        <v>15</v>
      </c>
      <c r="M44" s="2" t="s">
        <v>90</v>
      </c>
      <c r="N44" s="2" t="s">
        <v>90</v>
      </c>
      <c r="O44" s="34" t="s">
        <v>15</v>
      </c>
      <c r="Q44" s="2" t="s">
        <v>90</v>
      </c>
      <c r="R44" s="2" t="s">
        <v>90</v>
      </c>
      <c r="S44" s="34"/>
      <c r="T44" s="36" t="s">
        <v>27</v>
      </c>
    </row>
    <row r="45" ht="15.75" customHeight="1">
      <c r="A45" s="34" t="s">
        <v>122</v>
      </c>
      <c r="B45" s="34" t="s">
        <v>89</v>
      </c>
      <c r="C45" s="2" t="s">
        <v>90</v>
      </c>
      <c r="D45" s="2" t="s">
        <v>90</v>
      </c>
      <c r="F45" s="35" t="s">
        <v>89</v>
      </c>
      <c r="G45" s="34" t="s">
        <v>15</v>
      </c>
      <c r="H45" s="35" t="s">
        <v>89</v>
      </c>
      <c r="I45" s="34" t="s">
        <v>16</v>
      </c>
      <c r="J45" s="34" t="s">
        <v>17</v>
      </c>
      <c r="K45" s="35"/>
      <c r="L45" s="34" t="s">
        <v>89</v>
      </c>
      <c r="M45" s="2" t="s">
        <v>90</v>
      </c>
      <c r="N45" s="2" t="s">
        <v>90</v>
      </c>
      <c r="O45" s="34"/>
      <c r="Q45" s="2" t="s">
        <v>90</v>
      </c>
      <c r="R45" s="2" t="s">
        <v>90</v>
      </c>
      <c r="S45" s="34"/>
      <c r="T45" s="36" t="s">
        <v>122</v>
      </c>
    </row>
    <row r="46" ht="15.75" customHeight="1">
      <c r="A46" s="34" t="s">
        <v>501</v>
      </c>
      <c r="B46" s="34" t="s">
        <v>16</v>
      </c>
      <c r="C46" s="2" t="s">
        <v>90</v>
      </c>
      <c r="D46" s="2" t="s">
        <v>90</v>
      </c>
      <c r="F46" s="35" t="s">
        <v>16</v>
      </c>
      <c r="G46" s="34" t="s">
        <v>15</v>
      </c>
      <c r="H46" s="35" t="s">
        <v>16</v>
      </c>
      <c r="I46" s="34" t="s">
        <v>15</v>
      </c>
      <c r="J46" s="34" t="s">
        <v>15</v>
      </c>
      <c r="K46" s="35"/>
      <c r="L46" s="34" t="s">
        <v>16</v>
      </c>
      <c r="M46" s="2" t="s">
        <v>90</v>
      </c>
      <c r="N46" s="2" t="s">
        <v>90</v>
      </c>
      <c r="O46" s="34"/>
      <c r="Q46" s="2" t="s">
        <v>90</v>
      </c>
      <c r="R46" s="2" t="s">
        <v>90</v>
      </c>
      <c r="S46" s="34"/>
      <c r="T46" s="36" t="s">
        <v>501</v>
      </c>
    </row>
    <row r="47" ht="15.75" customHeight="1">
      <c r="A47" s="34" t="s">
        <v>33</v>
      </c>
      <c r="B47" s="34" t="s">
        <v>89</v>
      </c>
      <c r="C47" s="2" t="s">
        <v>90</v>
      </c>
      <c r="D47" s="2" t="s">
        <v>90</v>
      </c>
      <c r="F47" s="35" t="s">
        <v>16</v>
      </c>
      <c r="G47" s="34" t="s">
        <v>17</v>
      </c>
      <c r="H47" s="35" t="s">
        <v>89</v>
      </c>
      <c r="I47" s="34" t="s">
        <v>15</v>
      </c>
      <c r="J47" s="34" t="s">
        <v>89</v>
      </c>
      <c r="K47" s="35"/>
      <c r="L47" s="34" t="s">
        <v>89</v>
      </c>
      <c r="M47" s="2" t="s">
        <v>90</v>
      </c>
      <c r="N47" s="2" t="s">
        <v>90</v>
      </c>
      <c r="O47" s="34"/>
      <c r="Q47" s="2" t="s">
        <v>90</v>
      </c>
      <c r="R47" s="2" t="s">
        <v>90</v>
      </c>
      <c r="S47" s="34"/>
      <c r="T47" s="36" t="s">
        <v>33</v>
      </c>
    </row>
    <row r="48" ht="15.75" customHeight="1">
      <c r="A48" s="34" t="s">
        <v>502</v>
      </c>
      <c r="B48" s="34"/>
      <c r="C48" s="2" t="s">
        <v>90</v>
      </c>
      <c r="D48" s="2" t="s">
        <v>90</v>
      </c>
      <c r="F48" s="35" t="s">
        <v>16</v>
      </c>
      <c r="G48" s="34"/>
      <c r="H48" s="35" t="s">
        <v>17</v>
      </c>
      <c r="I48" s="34"/>
      <c r="J48" s="34" t="s">
        <v>16</v>
      </c>
      <c r="K48" s="35"/>
      <c r="L48" s="34" t="s">
        <v>17</v>
      </c>
      <c r="M48" s="2" t="s">
        <v>90</v>
      </c>
      <c r="N48" s="2" t="s">
        <v>90</v>
      </c>
      <c r="O48" s="34"/>
      <c r="Q48" s="2" t="s">
        <v>90</v>
      </c>
      <c r="R48" s="2" t="s">
        <v>90</v>
      </c>
      <c r="S48" s="34"/>
      <c r="T48" s="36" t="s">
        <v>503</v>
      </c>
    </row>
    <row r="49" ht="15.75" customHeight="1">
      <c r="A49" s="34" t="s">
        <v>504</v>
      </c>
      <c r="B49" s="34" t="s">
        <v>15</v>
      </c>
      <c r="C49" s="2" t="s">
        <v>90</v>
      </c>
      <c r="D49" s="2" t="s">
        <v>90</v>
      </c>
      <c r="F49" s="35" t="s">
        <v>15</v>
      </c>
      <c r="G49" s="34" t="s">
        <v>16</v>
      </c>
      <c r="H49" s="35" t="s">
        <v>16</v>
      </c>
      <c r="I49" s="34" t="s">
        <v>16</v>
      </c>
      <c r="J49" s="34" t="s">
        <v>15</v>
      </c>
      <c r="K49" s="35"/>
      <c r="L49" s="34" t="s">
        <v>16</v>
      </c>
      <c r="M49" s="2" t="s">
        <v>90</v>
      </c>
      <c r="N49" s="2" t="s">
        <v>90</v>
      </c>
      <c r="O49" s="34"/>
      <c r="Q49" s="2" t="s">
        <v>90</v>
      </c>
      <c r="R49" s="2" t="s">
        <v>90</v>
      </c>
      <c r="S49" s="34"/>
      <c r="T49" s="36" t="s">
        <v>504</v>
      </c>
    </row>
    <row r="50" ht="15.75" customHeight="1">
      <c r="A50" s="34" t="s">
        <v>505</v>
      </c>
      <c r="B50" s="34"/>
      <c r="C50" s="2" t="s">
        <v>90</v>
      </c>
      <c r="D50" s="2" t="s">
        <v>90</v>
      </c>
      <c r="F50" s="35" t="s">
        <v>16</v>
      </c>
      <c r="G50" s="34"/>
      <c r="H50" s="35" t="s">
        <v>89</v>
      </c>
      <c r="I50" s="34" t="s">
        <v>17</v>
      </c>
      <c r="J50" s="34" t="s">
        <v>15</v>
      </c>
      <c r="K50" s="35"/>
      <c r="L50" s="34"/>
      <c r="M50" s="2" t="s">
        <v>90</v>
      </c>
      <c r="N50" s="2" t="s">
        <v>90</v>
      </c>
      <c r="O50" s="34"/>
      <c r="Q50" s="2" t="s">
        <v>90</v>
      </c>
      <c r="R50" s="2" t="s">
        <v>90</v>
      </c>
      <c r="S50" s="34"/>
      <c r="T50" s="36" t="s">
        <v>505</v>
      </c>
    </row>
    <row r="51" ht="15.75" customHeight="1">
      <c r="A51" s="34" t="s">
        <v>505</v>
      </c>
      <c r="B51" s="34"/>
      <c r="C51" s="2" t="s">
        <v>90</v>
      </c>
      <c r="D51" s="2" t="s">
        <v>90</v>
      </c>
      <c r="F51" s="35" t="s">
        <v>15</v>
      </c>
      <c r="G51" s="34"/>
      <c r="H51" s="35" t="s">
        <v>16</v>
      </c>
      <c r="I51" s="34" t="s">
        <v>89</v>
      </c>
      <c r="J51" s="34" t="s">
        <v>17</v>
      </c>
      <c r="K51" s="35"/>
      <c r="L51" s="34"/>
      <c r="M51" s="2" t="s">
        <v>90</v>
      </c>
      <c r="N51" s="2" t="s">
        <v>90</v>
      </c>
      <c r="O51" s="34"/>
      <c r="Q51" s="2" t="s">
        <v>90</v>
      </c>
      <c r="R51" s="2" t="s">
        <v>90</v>
      </c>
      <c r="S51" s="34"/>
      <c r="T51" s="36" t="s">
        <v>505</v>
      </c>
    </row>
    <row r="52" ht="15.75" customHeight="1">
      <c r="A52" s="34" t="s">
        <v>92</v>
      </c>
      <c r="B52" s="34"/>
      <c r="C52" s="2" t="s">
        <v>90</v>
      </c>
      <c r="D52" s="2" t="s">
        <v>90</v>
      </c>
      <c r="F52" s="35" t="s">
        <v>16</v>
      </c>
      <c r="G52" s="34"/>
      <c r="H52" s="35" t="s">
        <v>17</v>
      </c>
      <c r="I52" s="34"/>
      <c r="J52" s="34" t="s">
        <v>15</v>
      </c>
      <c r="K52" s="35"/>
      <c r="L52" s="34"/>
      <c r="M52" s="2" t="s">
        <v>90</v>
      </c>
      <c r="N52" s="2" t="s">
        <v>90</v>
      </c>
      <c r="O52" s="34"/>
      <c r="Q52" s="2" t="s">
        <v>90</v>
      </c>
      <c r="R52" s="2" t="s">
        <v>90</v>
      </c>
      <c r="T52" s="36" t="s">
        <v>92</v>
      </c>
    </row>
    <row r="53" ht="15.75" customHeight="1">
      <c r="A53" s="34" t="s">
        <v>92</v>
      </c>
      <c r="B53" s="34"/>
      <c r="C53" s="2" t="s">
        <v>90</v>
      </c>
      <c r="D53" s="2" t="s">
        <v>90</v>
      </c>
      <c r="F53" s="35" t="s">
        <v>16</v>
      </c>
      <c r="G53" s="34"/>
      <c r="H53" s="35" t="s">
        <v>17</v>
      </c>
      <c r="I53" s="34"/>
      <c r="J53" s="34" t="s">
        <v>15</v>
      </c>
      <c r="K53" s="35"/>
      <c r="L53" s="34"/>
      <c r="M53" s="2" t="s">
        <v>90</v>
      </c>
      <c r="N53" s="2" t="s">
        <v>90</v>
      </c>
      <c r="O53" s="34"/>
      <c r="Q53" s="2" t="s">
        <v>90</v>
      </c>
      <c r="R53" s="2" t="s">
        <v>90</v>
      </c>
      <c r="T53" s="36" t="s">
        <v>92</v>
      </c>
    </row>
    <row r="54" ht="15.75" customHeight="1">
      <c r="A54" s="34" t="s">
        <v>44</v>
      </c>
      <c r="B54" s="34" t="s">
        <v>17</v>
      </c>
      <c r="C54" s="2" t="s">
        <v>90</v>
      </c>
      <c r="D54" s="2" t="s">
        <v>90</v>
      </c>
      <c r="F54" s="35" t="s">
        <v>89</v>
      </c>
      <c r="G54" s="34" t="s">
        <v>16</v>
      </c>
      <c r="H54" s="35" t="s">
        <v>16</v>
      </c>
      <c r="I54" s="34"/>
      <c r="J54" s="34" t="s">
        <v>89</v>
      </c>
      <c r="K54" s="35"/>
      <c r="L54" s="34"/>
      <c r="M54" s="2" t="s">
        <v>90</v>
      </c>
      <c r="N54" s="2" t="s">
        <v>90</v>
      </c>
      <c r="O54" s="34"/>
      <c r="Q54" s="2" t="s">
        <v>90</v>
      </c>
      <c r="R54" s="2" t="s">
        <v>90</v>
      </c>
      <c r="T54" s="36" t="s">
        <v>44</v>
      </c>
    </row>
    <row r="55" ht="15.75" customHeight="1">
      <c r="A55" s="34" t="s">
        <v>506</v>
      </c>
      <c r="B55" s="34" t="s">
        <v>89</v>
      </c>
      <c r="C55" s="2" t="s">
        <v>90</v>
      </c>
      <c r="D55" s="2" t="s">
        <v>90</v>
      </c>
      <c r="F55" s="35" t="s">
        <v>16</v>
      </c>
      <c r="G55" s="34"/>
      <c r="H55" s="35" t="s">
        <v>16</v>
      </c>
      <c r="I55" s="34"/>
      <c r="J55" s="34" t="s">
        <v>89</v>
      </c>
      <c r="K55" s="35"/>
      <c r="L55" s="34"/>
      <c r="M55" s="2" t="s">
        <v>90</v>
      </c>
      <c r="N55" s="2" t="s">
        <v>90</v>
      </c>
      <c r="O55" s="34"/>
      <c r="Q55" s="2" t="s">
        <v>90</v>
      </c>
      <c r="R55" s="2" t="s">
        <v>90</v>
      </c>
      <c r="T55" s="36" t="s">
        <v>506</v>
      </c>
    </row>
    <row r="56" ht="15.75" customHeight="1">
      <c r="A56" s="34" t="s">
        <v>506</v>
      </c>
      <c r="B56" s="34" t="s">
        <v>89</v>
      </c>
      <c r="C56" s="2" t="s">
        <v>90</v>
      </c>
      <c r="D56" s="2" t="s">
        <v>90</v>
      </c>
      <c r="F56" s="35" t="s">
        <v>16</v>
      </c>
      <c r="G56" s="34"/>
      <c r="H56" s="35"/>
      <c r="I56" s="34" t="s">
        <v>16</v>
      </c>
      <c r="J56" s="34" t="s">
        <v>89</v>
      </c>
      <c r="K56" s="35"/>
      <c r="L56" s="34"/>
      <c r="M56" s="2" t="s">
        <v>90</v>
      </c>
      <c r="N56" s="2" t="s">
        <v>90</v>
      </c>
      <c r="O56" s="34"/>
      <c r="Q56" s="2" t="s">
        <v>90</v>
      </c>
      <c r="R56" s="2" t="s">
        <v>90</v>
      </c>
      <c r="T56" s="36" t="s">
        <v>506</v>
      </c>
    </row>
    <row r="57" ht="15.75" customHeight="1">
      <c r="A57" s="34" t="s">
        <v>506</v>
      </c>
      <c r="B57" s="34"/>
      <c r="C57" s="2" t="s">
        <v>90</v>
      </c>
      <c r="D57" s="2" t="s">
        <v>90</v>
      </c>
      <c r="F57" s="35" t="s">
        <v>89</v>
      </c>
      <c r="G57" s="34"/>
      <c r="H57" s="35"/>
      <c r="I57" s="34" t="s">
        <v>16</v>
      </c>
      <c r="J57" s="34" t="s">
        <v>16</v>
      </c>
      <c r="K57" s="35"/>
      <c r="L57" s="34" t="s">
        <v>89</v>
      </c>
      <c r="M57" s="2" t="s">
        <v>90</v>
      </c>
      <c r="N57" s="2" t="s">
        <v>90</v>
      </c>
      <c r="O57" s="34"/>
      <c r="Q57" s="2" t="s">
        <v>90</v>
      </c>
      <c r="R57" s="2" t="s">
        <v>90</v>
      </c>
      <c r="T57" s="36" t="s">
        <v>506</v>
      </c>
    </row>
    <row r="58" ht="15.75" customHeight="1">
      <c r="A58" s="34" t="s">
        <v>475</v>
      </c>
      <c r="B58" s="34"/>
      <c r="C58" s="2" t="s">
        <v>90</v>
      </c>
      <c r="D58" s="2" t="s">
        <v>90</v>
      </c>
      <c r="F58" s="35" t="s">
        <v>16</v>
      </c>
      <c r="G58" s="34"/>
      <c r="H58" s="35" t="s">
        <v>15</v>
      </c>
      <c r="I58" s="34" t="s">
        <v>89</v>
      </c>
      <c r="J58" s="34" t="s">
        <v>17</v>
      </c>
      <c r="K58" s="35"/>
      <c r="L58" s="34" t="s">
        <v>89</v>
      </c>
      <c r="M58" s="2" t="s">
        <v>90</v>
      </c>
      <c r="N58" s="2" t="s">
        <v>90</v>
      </c>
      <c r="O58" s="34"/>
      <c r="Q58" s="2" t="s">
        <v>90</v>
      </c>
      <c r="R58" s="2" t="s">
        <v>90</v>
      </c>
      <c r="T58" s="36" t="s">
        <v>475</v>
      </c>
    </row>
    <row r="59" ht="15.75" customHeight="1">
      <c r="A59" s="34" t="s">
        <v>24</v>
      </c>
      <c r="B59" s="34" t="s">
        <v>15</v>
      </c>
      <c r="C59" s="2" t="s">
        <v>90</v>
      </c>
      <c r="D59" s="2" t="s">
        <v>90</v>
      </c>
      <c r="F59" s="35" t="s">
        <v>16</v>
      </c>
      <c r="G59" s="34"/>
      <c r="H59" s="35"/>
      <c r="I59" s="34" t="s">
        <v>17</v>
      </c>
      <c r="J59" s="34" t="s">
        <v>89</v>
      </c>
      <c r="K59" s="35"/>
      <c r="M59" s="2" t="s">
        <v>90</v>
      </c>
      <c r="N59" s="2" t="s">
        <v>90</v>
      </c>
      <c r="O59" s="34"/>
      <c r="Q59" s="2" t="s">
        <v>90</v>
      </c>
      <c r="R59" s="2" t="s">
        <v>90</v>
      </c>
      <c r="T59" s="36" t="s">
        <v>24</v>
      </c>
    </row>
    <row r="60" ht="15.75" customHeight="1">
      <c r="A60" s="34" t="s">
        <v>384</v>
      </c>
      <c r="B60" s="34" t="s">
        <v>89</v>
      </c>
      <c r="C60" s="2" t="s">
        <v>90</v>
      </c>
      <c r="D60" s="2" t="s">
        <v>90</v>
      </c>
      <c r="F60" s="35" t="s">
        <v>16</v>
      </c>
      <c r="G60" s="34"/>
      <c r="H60" s="35"/>
      <c r="I60" s="34" t="s">
        <v>15</v>
      </c>
      <c r="J60" s="34" t="s">
        <v>17</v>
      </c>
      <c r="K60" s="35"/>
      <c r="M60" s="2" t="s">
        <v>90</v>
      </c>
      <c r="N60" s="2" t="s">
        <v>90</v>
      </c>
      <c r="O60" s="34"/>
      <c r="Q60" s="2" t="s">
        <v>90</v>
      </c>
      <c r="R60" s="2" t="s">
        <v>90</v>
      </c>
      <c r="T60" s="36" t="s">
        <v>481</v>
      </c>
    </row>
    <row r="61" ht="15.75" customHeight="1">
      <c r="A61" s="34" t="s">
        <v>507</v>
      </c>
      <c r="B61" s="34" t="s">
        <v>16</v>
      </c>
      <c r="C61" s="2" t="s">
        <v>90</v>
      </c>
      <c r="D61" s="2" t="s">
        <v>90</v>
      </c>
      <c r="F61" s="35" t="s">
        <v>15</v>
      </c>
      <c r="G61" s="34" t="s">
        <v>16</v>
      </c>
      <c r="H61" s="35"/>
      <c r="I61" s="34" t="s">
        <v>15</v>
      </c>
      <c r="J61" s="34" t="s">
        <v>15</v>
      </c>
      <c r="K61" s="35"/>
      <c r="M61" s="2" t="s">
        <v>90</v>
      </c>
      <c r="N61" s="2" t="s">
        <v>90</v>
      </c>
      <c r="O61" s="34"/>
      <c r="Q61" s="2" t="s">
        <v>90</v>
      </c>
      <c r="R61" s="2" t="s">
        <v>90</v>
      </c>
      <c r="T61" s="36" t="s">
        <v>507</v>
      </c>
    </row>
    <row r="62" ht="15.75" customHeight="1">
      <c r="A62" s="34">
        <v>-1.0</v>
      </c>
      <c r="B62" s="34" t="s">
        <v>15</v>
      </c>
      <c r="C62" s="2" t="s">
        <v>90</v>
      </c>
      <c r="D62" s="2" t="s">
        <v>90</v>
      </c>
      <c r="F62" s="35" t="s">
        <v>16</v>
      </c>
      <c r="G62" s="34" t="s">
        <v>89</v>
      </c>
      <c r="H62" s="35"/>
      <c r="I62" s="34" t="s">
        <v>89</v>
      </c>
      <c r="J62" s="34" t="s">
        <v>17</v>
      </c>
      <c r="K62" s="35"/>
      <c r="M62" s="2" t="s">
        <v>90</v>
      </c>
      <c r="N62" s="2" t="s">
        <v>90</v>
      </c>
      <c r="O62" s="34"/>
      <c r="Q62" s="2" t="s">
        <v>90</v>
      </c>
      <c r="R62" s="2" t="s">
        <v>90</v>
      </c>
      <c r="T62" s="36">
        <v>-1.0</v>
      </c>
    </row>
    <row r="63" ht="15.75" customHeight="1">
      <c r="A63" s="37" t="s">
        <v>508</v>
      </c>
      <c r="B63" s="34" t="s">
        <v>15</v>
      </c>
      <c r="C63" s="2" t="s">
        <v>90</v>
      </c>
      <c r="D63" s="2" t="s">
        <v>90</v>
      </c>
      <c r="F63" s="35" t="s">
        <v>16</v>
      </c>
      <c r="G63" s="34"/>
      <c r="H63" s="35"/>
      <c r="I63" s="34" t="s">
        <v>89</v>
      </c>
      <c r="J63" s="34" t="s">
        <v>17</v>
      </c>
      <c r="K63" s="35"/>
      <c r="M63" s="2" t="s">
        <v>90</v>
      </c>
      <c r="N63" s="2" t="s">
        <v>90</v>
      </c>
      <c r="O63" s="34"/>
      <c r="Q63" s="2" t="s">
        <v>90</v>
      </c>
      <c r="R63" s="2" t="s">
        <v>90</v>
      </c>
      <c r="T63" s="36" t="s">
        <v>509</v>
      </c>
    </row>
    <row r="64" ht="15.75" customHeight="1">
      <c r="A64" s="34" t="s">
        <v>477</v>
      </c>
      <c r="B64" s="34"/>
      <c r="C64" s="2" t="s">
        <v>90</v>
      </c>
      <c r="D64" s="2" t="s">
        <v>90</v>
      </c>
      <c r="F64" s="35" t="s">
        <v>17</v>
      </c>
      <c r="G64" s="34" t="s">
        <v>15</v>
      </c>
      <c r="H64" s="35"/>
      <c r="I64" s="34" t="s">
        <v>16</v>
      </c>
      <c r="J64" s="34" t="s">
        <v>89</v>
      </c>
      <c r="K64" s="35"/>
      <c r="M64" s="2" t="s">
        <v>90</v>
      </c>
      <c r="N64" s="2" t="s">
        <v>90</v>
      </c>
      <c r="O64" s="34"/>
      <c r="Q64" s="2" t="s">
        <v>90</v>
      </c>
      <c r="R64" s="2" t="s">
        <v>90</v>
      </c>
      <c r="T64" s="36" t="s">
        <v>477</v>
      </c>
    </row>
    <row r="65" ht="15.75" customHeight="1">
      <c r="A65" s="34" t="s">
        <v>510</v>
      </c>
      <c r="B65" s="34"/>
      <c r="C65" s="2" t="s">
        <v>90</v>
      </c>
      <c r="D65" s="2" t="s">
        <v>90</v>
      </c>
      <c r="F65" s="35" t="s">
        <v>15</v>
      </c>
      <c r="G65" s="34" t="s">
        <v>15</v>
      </c>
      <c r="H65" s="35"/>
      <c r="I65" s="34" t="s">
        <v>16</v>
      </c>
      <c r="J65" s="34" t="s">
        <v>15</v>
      </c>
      <c r="K65" s="35"/>
      <c r="M65" s="2" t="s">
        <v>90</v>
      </c>
      <c r="N65" s="2" t="s">
        <v>90</v>
      </c>
      <c r="O65" s="34"/>
      <c r="Q65" s="2" t="s">
        <v>90</v>
      </c>
      <c r="R65" s="2" t="s">
        <v>90</v>
      </c>
      <c r="T65" s="36" t="s">
        <v>510</v>
      </c>
    </row>
    <row r="66" ht="15.75" customHeight="1">
      <c r="A66" s="34" t="s">
        <v>511</v>
      </c>
      <c r="B66" s="34" t="s">
        <v>17</v>
      </c>
      <c r="C66" s="2" t="s">
        <v>90</v>
      </c>
      <c r="D66" s="2" t="s">
        <v>90</v>
      </c>
      <c r="F66" s="35" t="s">
        <v>89</v>
      </c>
      <c r="G66" s="34" t="s">
        <v>15</v>
      </c>
      <c r="H66" s="35"/>
      <c r="I66" s="34" t="s">
        <v>89</v>
      </c>
      <c r="J66" s="34" t="s">
        <v>16</v>
      </c>
      <c r="K66" s="35"/>
      <c r="M66" s="2" t="s">
        <v>90</v>
      </c>
      <c r="N66" s="2" t="s">
        <v>90</v>
      </c>
      <c r="O66" s="34"/>
      <c r="Q66" s="2" t="s">
        <v>90</v>
      </c>
      <c r="R66" s="2" t="s">
        <v>90</v>
      </c>
      <c r="T66" s="36" t="s">
        <v>511</v>
      </c>
    </row>
    <row r="67" ht="15.75" customHeight="1">
      <c r="A67" s="34" t="s">
        <v>512</v>
      </c>
      <c r="B67" s="34" t="s">
        <v>89</v>
      </c>
      <c r="C67" s="2" t="s">
        <v>90</v>
      </c>
      <c r="D67" s="2" t="s">
        <v>90</v>
      </c>
      <c r="F67" s="35" t="s">
        <v>16</v>
      </c>
      <c r="G67" s="34"/>
      <c r="H67" s="35"/>
      <c r="I67" s="34" t="s">
        <v>15</v>
      </c>
      <c r="J67" s="34" t="s">
        <v>17</v>
      </c>
      <c r="K67" s="35"/>
      <c r="M67" s="2" t="s">
        <v>90</v>
      </c>
      <c r="N67" s="2" t="s">
        <v>90</v>
      </c>
      <c r="O67" s="34"/>
      <c r="Q67" s="2" t="s">
        <v>90</v>
      </c>
      <c r="R67" s="2" t="s">
        <v>90</v>
      </c>
      <c r="T67" s="36" t="s">
        <v>512</v>
      </c>
    </row>
    <row r="68" ht="15.75" customHeight="1">
      <c r="A68" s="34" t="s">
        <v>33</v>
      </c>
      <c r="B68" s="34" t="s">
        <v>16</v>
      </c>
      <c r="C68" s="2" t="s">
        <v>90</v>
      </c>
      <c r="D68" s="2" t="s">
        <v>90</v>
      </c>
      <c r="F68" s="35" t="s">
        <v>15</v>
      </c>
      <c r="G68" s="34"/>
      <c r="H68" s="35"/>
      <c r="I68" s="34" t="s">
        <v>17</v>
      </c>
      <c r="J68" s="34" t="s">
        <v>89</v>
      </c>
      <c r="K68" s="35"/>
      <c r="M68" s="2" t="s">
        <v>90</v>
      </c>
      <c r="N68" s="2" t="s">
        <v>90</v>
      </c>
      <c r="O68" s="34"/>
      <c r="Q68" s="2" t="s">
        <v>90</v>
      </c>
      <c r="R68" s="2" t="s">
        <v>90</v>
      </c>
      <c r="T68" s="36" t="s">
        <v>33</v>
      </c>
    </row>
    <row r="69" ht="15.75" customHeight="1">
      <c r="A69" s="34" t="s">
        <v>513</v>
      </c>
      <c r="B69" s="34" t="s">
        <v>89</v>
      </c>
      <c r="C69" s="2" t="s">
        <v>90</v>
      </c>
      <c r="D69" s="2" t="s">
        <v>90</v>
      </c>
      <c r="F69" s="35" t="s">
        <v>16</v>
      </c>
      <c r="G69" s="34" t="s">
        <v>17</v>
      </c>
      <c r="H69" s="35"/>
      <c r="I69" s="34" t="s">
        <v>15</v>
      </c>
      <c r="J69" s="34" t="s">
        <v>89</v>
      </c>
      <c r="K69" s="35" t="s">
        <v>89</v>
      </c>
      <c r="M69" s="2" t="s">
        <v>90</v>
      </c>
      <c r="N69" s="2" t="s">
        <v>90</v>
      </c>
      <c r="O69" s="34"/>
      <c r="Q69" s="2" t="s">
        <v>90</v>
      </c>
      <c r="R69" s="2" t="s">
        <v>90</v>
      </c>
      <c r="T69" s="36" t="s">
        <v>513</v>
      </c>
    </row>
    <row r="70" ht="15.75" customHeight="1">
      <c r="A70" s="34" t="s">
        <v>514</v>
      </c>
      <c r="B70" s="34" t="s">
        <v>17</v>
      </c>
      <c r="C70" s="2" t="s">
        <v>90</v>
      </c>
      <c r="D70" s="2" t="s">
        <v>90</v>
      </c>
      <c r="F70" s="35" t="s">
        <v>15</v>
      </c>
      <c r="G70" s="34"/>
      <c r="H70" s="35"/>
      <c r="I70" s="34" t="s">
        <v>17</v>
      </c>
      <c r="J70" s="34" t="s">
        <v>16</v>
      </c>
      <c r="K70" s="35"/>
      <c r="M70" s="2" t="s">
        <v>90</v>
      </c>
      <c r="N70" s="2" t="s">
        <v>90</v>
      </c>
      <c r="O70" s="34"/>
      <c r="Q70" s="2" t="s">
        <v>90</v>
      </c>
      <c r="R70" s="2" t="s">
        <v>90</v>
      </c>
      <c r="T70" s="36" t="s">
        <v>514</v>
      </c>
    </row>
    <row r="71" ht="15.75" customHeight="1">
      <c r="T71" s="38"/>
    </row>
    <row r="72" ht="15.75" customHeight="1">
      <c r="T72" s="38"/>
    </row>
    <row r="73" ht="15.75" hidden="1" customHeight="1">
      <c r="T73" s="38"/>
    </row>
    <row r="74" ht="15.75" hidden="1" customHeight="1">
      <c r="T74" s="38"/>
    </row>
    <row r="75" ht="15.75" hidden="1" customHeight="1">
      <c r="T75" s="38"/>
    </row>
    <row r="76" ht="15.75" hidden="1" customHeight="1">
      <c r="T76" s="38"/>
    </row>
    <row r="77" ht="15.75" hidden="1" customHeight="1">
      <c r="T77" s="38"/>
    </row>
    <row r="78" ht="15.75" hidden="1" customHeight="1">
      <c r="T78" s="38"/>
    </row>
    <row r="79" ht="15.75" hidden="1" customHeight="1">
      <c r="T79" s="38"/>
    </row>
    <row r="80" ht="15.75" hidden="1" customHeight="1">
      <c r="T80" s="38"/>
    </row>
    <row r="81" ht="15.75" hidden="1" customHeight="1">
      <c r="T81" s="38"/>
    </row>
    <row r="82" ht="15.75" hidden="1" customHeight="1">
      <c r="T82" s="38"/>
    </row>
    <row r="83" ht="15.75" hidden="1" customHeight="1">
      <c r="T83" s="38"/>
    </row>
    <row r="84" ht="15.75" hidden="1" customHeight="1">
      <c r="T84" s="38"/>
    </row>
    <row r="85" ht="15.75" hidden="1" customHeight="1">
      <c r="T85" s="38"/>
    </row>
    <row r="86" ht="15.75" hidden="1" customHeight="1">
      <c r="T86" s="38"/>
    </row>
    <row r="87" ht="15.75" hidden="1" customHeight="1">
      <c r="T87" s="38"/>
    </row>
    <row r="88" ht="15.75" hidden="1" customHeight="1">
      <c r="T88" s="38"/>
    </row>
    <row r="89" ht="15.75" hidden="1" customHeight="1">
      <c r="T89" s="38"/>
    </row>
    <row r="90" ht="15.75" hidden="1" customHeight="1">
      <c r="T90" s="38"/>
    </row>
    <row r="91" ht="15.75" hidden="1" customHeight="1">
      <c r="T91" s="38"/>
    </row>
    <row r="92" ht="15.75" hidden="1" customHeight="1">
      <c r="T92" s="38"/>
    </row>
    <row r="93" ht="15.75" hidden="1" customHeight="1">
      <c r="T93" s="38"/>
    </row>
    <row r="94" ht="15.75" hidden="1" customHeight="1">
      <c r="T94" s="38"/>
    </row>
    <row r="95" ht="15.75" hidden="1" customHeight="1">
      <c r="T95" s="38"/>
    </row>
    <row r="96" ht="15.75" hidden="1" customHeight="1">
      <c r="T96" s="38"/>
    </row>
    <row r="97" ht="15.75" hidden="1" customHeight="1">
      <c r="T97" s="38"/>
    </row>
    <row r="98" ht="15.75" hidden="1" customHeight="1">
      <c r="T98" s="38"/>
    </row>
    <row r="99" ht="15.75" hidden="1" customHeight="1">
      <c r="T99" s="38"/>
    </row>
    <row r="100" ht="12.75" customHeight="1">
      <c r="A100" s="2" t="s">
        <v>89</v>
      </c>
      <c r="B100" s="3">
        <f t="array" ref="B100">SUM(IF(B2:B99="v",1))</f>
        <v>17</v>
      </c>
      <c r="C100" s="3">
        <f t="array" ref="C100">SUM(IF(C2:C99="v",1))</f>
        <v>0</v>
      </c>
      <c r="D100" s="3">
        <f t="array" ref="D100">SUM(IF(D2:D99="v",1))</f>
        <v>0</v>
      </c>
      <c r="E100" s="3">
        <f t="array" ref="E100">SUM(IF(E2:E99="v",1))</f>
        <v>4</v>
      </c>
      <c r="F100" s="3">
        <f t="array" ref="F100">SUM(IF(F2:F99="v",1))</f>
        <v>14</v>
      </c>
      <c r="G100" s="3">
        <f t="array" ref="G100">SUM(IF(G2:G99="v",1))</f>
        <v>16</v>
      </c>
      <c r="H100" s="3">
        <f t="array" ref="H100">SUM(IF(H2:H99="v",1))</f>
        <v>18</v>
      </c>
      <c r="I100" s="3">
        <f t="array" ref="I100">SUM(IF(I2:I99="v",1))</f>
        <v>21</v>
      </c>
      <c r="J100" s="3">
        <f t="array" ref="J100">SUM(IF(J2:J99="v",1))</f>
        <v>30</v>
      </c>
      <c r="K100" s="3">
        <f t="array" ref="K100">SUM(IF(K2:K99="v",1))</f>
        <v>8</v>
      </c>
      <c r="L100" s="3">
        <f t="array" ref="L100">SUM(IF(L2:L99="v",1))</f>
        <v>10</v>
      </c>
      <c r="M100" s="3">
        <f t="array" ref="M100">SUM(IF(M2:M99="v",1))</f>
        <v>0</v>
      </c>
      <c r="N100" s="3">
        <f t="array" ref="N100">SUM(IF(N2:N99="v",1))</f>
        <v>0</v>
      </c>
      <c r="O100" s="3">
        <f t="array" ref="O100">SUM(IF(O2:O99="v",1))</f>
        <v>3</v>
      </c>
      <c r="P100" s="3">
        <f t="array" ref="P100">SUM(IF(P2:P99="v",1))</f>
        <v>0</v>
      </c>
      <c r="Q100" s="3">
        <f t="array" ref="Q100">SUM(IF(Q2:Q99="v",1))</f>
        <v>0</v>
      </c>
      <c r="R100" s="3">
        <f t="array" ref="R100">SUM(IF(R2:R99="v",1))</f>
        <v>0</v>
      </c>
      <c r="S100" s="3">
        <f t="array" ref="S100">SUM(IF(S2:S99="v",1))</f>
        <v>5</v>
      </c>
      <c r="T100" s="38" t="s">
        <v>89</v>
      </c>
    </row>
    <row r="101" ht="12.75" customHeight="1">
      <c r="A101" s="2" t="s">
        <v>90</v>
      </c>
      <c r="B101" s="3">
        <f t="array" ref="B101">SUM(IF(B2:B99="x",1))</f>
        <v>0</v>
      </c>
      <c r="C101" s="3">
        <f t="array" ref="C101">SUM(IF(C2:C99="x",1))</f>
        <v>69</v>
      </c>
      <c r="D101" s="3">
        <f t="array" ref="D101">SUM(IF(D2:D99="x",1))</f>
        <v>69</v>
      </c>
      <c r="E101" s="3">
        <f t="array" ref="E101">SUM(IF(E2:E99="x",1))</f>
        <v>0</v>
      </c>
      <c r="F101" s="3">
        <f t="array" ref="F101">SUM(IF(F2:F99="x",1))</f>
        <v>0</v>
      </c>
      <c r="G101" s="3">
        <f t="array" ref="G101">SUM(IF(G2:G99="x",1))</f>
        <v>0</v>
      </c>
      <c r="H101" s="3">
        <f t="array" ref="H101">SUM(IF(H2:H99="x",1))</f>
        <v>0</v>
      </c>
      <c r="I101" s="3">
        <f t="array" ref="I101">SUM(IF(I2:I99="x",1))</f>
        <v>0</v>
      </c>
      <c r="J101" s="3">
        <f t="array" ref="J101">SUM(IF(J2:J99="x",1))</f>
        <v>0</v>
      </c>
      <c r="K101" s="3">
        <f t="array" ref="K101">SUM(IF(K2:K99="x",1))</f>
        <v>0</v>
      </c>
      <c r="L101" s="3">
        <f t="array" ref="L101">SUM(IF(L2:L99="x",1))</f>
        <v>0</v>
      </c>
      <c r="M101" s="3">
        <f t="array" ref="M101">SUM(IF(M2:M99="x",1))</f>
        <v>69</v>
      </c>
      <c r="N101" s="3">
        <f t="array" ref="N101">SUM(IF(N2:N99="x",1))</f>
        <v>69</v>
      </c>
      <c r="O101" s="3">
        <f t="array" ref="O101">SUM(IF(O2:O99="x",1))</f>
        <v>0</v>
      </c>
      <c r="P101" s="3">
        <f t="array" ref="P101">SUM(IF(P2:P99="x",1))</f>
        <v>0</v>
      </c>
      <c r="Q101" s="3">
        <f t="array" ref="Q101">SUM(IF(Q2:Q99="x",1))</f>
        <v>69</v>
      </c>
      <c r="R101" s="3">
        <f t="array" ref="R101">SUM(IF(R2:R99="x",1))</f>
        <v>69</v>
      </c>
      <c r="S101" s="3">
        <f t="array" ref="S101">SUM(IF(S2:S99="x",1))</f>
        <v>0</v>
      </c>
      <c r="T101" s="38" t="s">
        <v>90</v>
      </c>
    </row>
    <row r="102" ht="12.75" customHeight="1">
      <c r="A102" s="2" t="s">
        <v>128</v>
      </c>
      <c r="B102" s="3">
        <f t="shared" ref="B102:S102" si="1">B100+B103+B104+B105</f>
        <v>57</v>
      </c>
      <c r="C102" s="3">
        <f t="shared" si="1"/>
        <v>0</v>
      </c>
      <c r="D102" s="3">
        <f t="shared" si="1"/>
        <v>0</v>
      </c>
      <c r="E102" s="3">
        <f t="shared" si="1"/>
        <v>14</v>
      </c>
      <c r="F102" s="3">
        <f t="shared" si="1"/>
        <v>69</v>
      </c>
      <c r="G102" s="3">
        <f t="shared" si="1"/>
        <v>41</v>
      </c>
      <c r="H102" s="3">
        <f t="shared" si="1"/>
        <v>46</v>
      </c>
      <c r="I102" s="3">
        <f t="shared" si="1"/>
        <v>60</v>
      </c>
      <c r="J102" s="3">
        <f t="shared" si="1"/>
        <v>66</v>
      </c>
      <c r="K102" s="3">
        <f t="shared" si="1"/>
        <v>19</v>
      </c>
      <c r="L102" s="3">
        <f t="shared" si="1"/>
        <v>18</v>
      </c>
      <c r="M102" s="3">
        <f t="shared" si="1"/>
        <v>0</v>
      </c>
      <c r="N102" s="3">
        <f t="shared" si="1"/>
        <v>0</v>
      </c>
      <c r="O102" s="3">
        <f t="shared" si="1"/>
        <v>4</v>
      </c>
      <c r="P102" s="3">
        <f t="shared" si="1"/>
        <v>0</v>
      </c>
      <c r="Q102" s="3">
        <f t="shared" si="1"/>
        <v>0</v>
      </c>
      <c r="R102" s="3">
        <f t="shared" si="1"/>
        <v>0</v>
      </c>
      <c r="S102" s="3">
        <f t="shared" si="1"/>
        <v>9</v>
      </c>
      <c r="T102" s="38" t="s">
        <v>128</v>
      </c>
    </row>
    <row r="103" ht="12.75" customHeight="1">
      <c r="A103" s="2" t="s">
        <v>17</v>
      </c>
      <c r="B103" s="3">
        <f t="array" ref="B103">SUM(IF(B$2:B$99=$A103,1))</f>
        <v>11</v>
      </c>
      <c r="C103" s="3">
        <f t="array" ref="C103">SUM(IF(C$2:C$99=$A103,1))</f>
        <v>0</v>
      </c>
      <c r="D103" s="3">
        <f t="array" ref="D103">SUM(IF(D$2:D$99=$A103,1))</f>
        <v>0</v>
      </c>
      <c r="E103" s="3">
        <f t="array" ref="E103">SUM(IF(E$2:E$99=$A103,1))</f>
        <v>1</v>
      </c>
      <c r="F103" s="3">
        <f t="array" ref="F103">SUM(IF(F$2:F$99=$A103,1))</f>
        <v>4</v>
      </c>
      <c r="G103" s="3">
        <f t="array" ref="G103">SUM(IF(G$2:G$99=$A103,1))</f>
        <v>6</v>
      </c>
      <c r="H103" s="3">
        <f t="array" ref="H103">SUM(IF(H$2:H$99=$A103,1))</f>
        <v>9</v>
      </c>
      <c r="I103" s="3">
        <f t="array" ref="I103">SUM(IF(I$2:I$99=$A103,1))</f>
        <v>9</v>
      </c>
      <c r="J103" s="3">
        <f t="array" ref="J103">SUM(IF(J$2:J$99=$A103,1))</f>
        <v>10</v>
      </c>
      <c r="K103" s="3">
        <f t="array" ref="K103">SUM(IF(K$2:K$99=$A103,1))</f>
        <v>4</v>
      </c>
      <c r="L103" s="3">
        <f t="array" ref="L103">SUM(IF(L$2:L$99=$A103,1))</f>
        <v>2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  <c r="Q103" s="3">
        <f t="array" ref="Q103">SUM(IF(Q$2:Q$99=$A103,1))</f>
        <v>0</v>
      </c>
      <c r="R103" s="3">
        <f t="array" ref="R103">SUM(IF(R$2:R$99=$A103,1))</f>
        <v>0</v>
      </c>
      <c r="S103" s="3">
        <f t="array" ref="S103">SUM(IF(S$2:S$99=$A103,1))</f>
        <v>1</v>
      </c>
      <c r="T103" s="38" t="s">
        <v>17</v>
      </c>
    </row>
    <row r="104" ht="12.75" customHeight="1">
      <c r="A104" s="2" t="s">
        <v>15</v>
      </c>
      <c r="B104" s="3">
        <f t="array" ref="B104">SUM(IF(B$2:B$99=$A104,1))</f>
        <v>9</v>
      </c>
      <c r="C104" s="3">
        <f t="array" ref="C104">SUM(IF(C$2:C$99=$A104,1))</f>
        <v>0</v>
      </c>
      <c r="D104" s="3">
        <f t="array" ref="D104">SUM(IF(D$2:D$99=$A104,1))</f>
        <v>0</v>
      </c>
      <c r="E104" s="3">
        <f t="array" ref="E104">SUM(IF(E$2:E$99=$A104,1))</f>
        <v>5</v>
      </c>
      <c r="F104" s="3">
        <f t="array" ref="F104">SUM(IF(F$2:F$99=$A104,1))</f>
        <v>19</v>
      </c>
      <c r="G104" s="3">
        <f t="array" ref="G104">SUM(IF(G$2:G$99=$A104,1))</f>
        <v>8</v>
      </c>
      <c r="H104" s="3">
        <f t="array" ref="H104">SUM(IF(H$2:H$99=$A104,1))</f>
        <v>10</v>
      </c>
      <c r="I104" s="3">
        <f t="array" ref="I104">SUM(IF(I$2:I$99=$A104,1))</f>
        <v>16</v>
      </c>
      <c r="J104" s="3">
        <f t="array" ref="J104">SUM(IF(J$2:J$99=$A104,1))</f>
        <v>17</v>
      </c>
      <c r="K104" s="3">
        <f t="array" ref="K104">SUM(IF(K$2:K$99=$A104,1))</f>
        <v>3</v>
      </c>
      <c r="L104" s="3">
        <f t="array" ref="L104">SUM(IF(L$2:L$99=$A104,1))</f>
        <v>3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1</v>
      </c>
      <c r="P104" s="3">
        <f t="array" ref="P104">SUM(IF(P$2:P$99=$A104,1))</f>
        <v>0</v>
      </c>
      <c r="Q104" s="3">
        <f t="array" ref="Q104">SUM(IF(Q$2:Q$99=$A104,1))</f>
        <v>0</v>
      </c>
      <c r="R104" s="3">
        <f t="array" ref="R104">SUM(IF(R$2:R$99=$A104,1))</f>
        <v>0</v>
      </c>
      <c r="S104" s="3">
        <f t="array" ref="S104">SUM(IF(S$2:S$99=$A104,1))</f>
        <v>2</v>
      </c>
      <c r="T104" s="38" t="s">
        <v>15</v>
      </c>
    </row>
    <row r="105" ht="12.75" customHeight="1">
      <c r="A105" s="2" t="s">
        <v>16</v>
      </c>
      <c r="B105" s="3">
        <f t="array" ref="B105">SUM(IF(B$2:B$99=$A105,1))</f>
        <v>20</v>
      </c>
      <c r="C105" s="3">
        <f t="array" ref="C105">SUM(IF(C$2:C$99=$A105,1))</f>
        <v>0</v>
      </c>
      <c r="D105" s="3">
        <f t="array" ref="D105">SUM(IF(D$2:D$99=$A105,1))</f>
        <v>0</v>
      </c>
      <c r="E105" s="3">
        <f t="array" ref="E105">SUM(IF(E$2:E$99=$A105,1))</f>
        <v>4</v>
      </c>
      <c r="F105" s="3">
        <f t="array" ref="F105">SUM(IF(F$2:F$99=$A105,1))</f>
        <v>32</v>
      </c>
      <c r="G105" s="3">
        <f t="array" ref="G105">SUM(IF(G$2:G$99=$A105,1))</f>
        <v>11</v>
      </c>
      <c r="H105" s="3">
        <f t="array" ref="H105">SUM(IF(H$2:H$99=$A105,1))</f>
        <v>9</v>
      </c>
      <c r="I105" s="3">
        <f t="array" ref="I105">SUM(IF(I$2:I$99=$A105,1))</f>
        <v>14</v>
      </c>
      <c r="J105" s="3">
        <f t="array" ref="J105">SUM(IF(J$2:J$99=$A105,1))</f>
        <v>9</v>
      </c>
      <c r="K105" s="3">
        <f t="array" ref="K105">SUM(IF(K$2:K$99=$A105,1))</f>
        <v>4</v>
      </c>
      <c r="L105" s="3">
        <f t="array" ref="L105">SUM(IF(L$2:L$99=$A105,1))</f>
        <v>3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0</v>
      </c>
      <c r="P105" s="3">
        <f t="array" ref="P105">SUM(IF(P$2:P$99=$A105,1))</f>
        <v>0</v>
      </c>
      <c r="Q105" s="3">
        <f t="array" ref="Q105">SUM(IF(Q$2:Q$99=$A105,1))</f>
        <v>0</v>
      </c>
      <c r="R105" s="3">
        <f t="array" ref="R105">SUM(IF(R$2:R$99=$A105,1))</f>
        <v>0</v>
      </c>
      <c r="S105" s="3">
        <f t="array" ref="S105">SUM(IF(S$2:S$99=$A105,1))</f>
        <v>1</v>
      </c>
      <c r="T105" s="38" t="s">
        <v>16</v>
      </c>
    </row>
    <row r="106" ht="12.75" customHeight="1">
      <c r="A106" s="4" t="s">
        <v>129</v>
      </c>
      <c r="B106" s="4">
        <f t="shared" ref="B106:S106" si="2">B103+B104*2+B105*3</f>
        <v>89</v>
      </c>
      <c r="C106" s="4">
        <f t="shared" si="2"/>
        <v>0</v>
      </c>
      <c r="D106" s="4">
        <f t="shared" si="2"/>
        <v>0</v>
      </c>
      <c r="E106" s="4">
        <f t="shared" si="2"/>
        <v>23</v>
      </c>
      <c r="F106" s="4">
        <f t="shared" si="2"/>
        <v>138</v>
      </c>
      <c r="G106" s="4">
        <f t="shared" si="2"/>
        <v>55</v>
      </c>
      <c r="H106" s="4">
        <f t="shared" si="2"/>
        <v>56</v>
      </c>
      <c r="I106" s="4">
        <f t="shared" si="2"/>
        <v>83</v>
      </c>
      <c r="J106" s="4">
        <f t="shared" si="2"/>
        <v>71</v>
      </c>
      <c r="K106" s="4">
        <f t="shared" si="2"/>
        <v>22</v>
      </c>
      <c r="L106" s="4">
        <f t="shared" si="2"/>
        <v>17</v>
      </c>
      <c r="M106" s="4">
        <f t="shared" si="2"/>
        <v>0</v>
      </c>
      <c r="N106" s="4">
        <f t="shared" si="2"/>
        <v>0</v>
      </c>
      <c r="O106" s="4">
        <f t="shared" si="2"/>
        <v>2</v>
      </c>
      <c r="P106" s="4">
        <f t="shared" si="2"/>
        <v>0</v>
      </c>
      <c r="Q106" s="4">
        <f t="shared" si="2"/>
        <v>0</v>
      </c>
      <c r="R106" s="4">
        <f t="shared" si="2"/>
        <v>0</v>
      </c>
      <c r="S106" s="4">
        <f t="shared" si="2"/>
        <v>8</v>
      </c>
      <c r="T106" s="39" t="s">
        <v>129</v>
      </c>
    </row>
    <row r="107" ht="12.75" customHeight="1">
      <c r="A107" s="2" t="s">
        <v>130</v>
      </c>
      <c r="B107" s="11">
        <f t="shared" ref="B107:S107" si="3">IF(B100+B103+B104+B105&lt;&gt;0,B106/(B100+B103+B104+B105),0)</f>
        <v>1.561403509</v>
      </c>
      <c r="C107" s="11">
        <f t="shared" si="3"/>
        <v>0</v>
      </c>
      <c r="D107" s="11">
        <f t="shared" si="3"/>
        <v>0</v>
      </c>
      <c r="E107" s="11">
        <f t="shared" si="3"/>
        <v>1.642857143</v>
      </c>
      <c r="F107" s="11">
        <f t="shared" si="3"/>
        <v>2</v>
      </c>
      <c r="G107" s="11">
        <f t="shared" si="3"/>
        <v>1.341463415</v>
      </c>
      <c r="H107" s="11">
        <f t="shared" si="3"/>
        <v>1.217391304</v>
      </c>
      <c r="I107" s="11">
        <f t="shared" si="3"/>
        <v>1.383333333</v>
      </c>
      <c r="J107" s="11">
        <f t="shared" si="3"/>
        <v>1.075757576</v>
      </c>
      <c r="K107" s="11">
        <f t="shared" si="3"/>
        <v>1.157894737</v>
      </c>
      <c r="L107" s="11">
        <f t="shared" si="3"/>
        <v>0.9444444444</v>
      </c>
      <c r="M107" s="11">
        <f t="shared" si="3"/>
        <v>0</v>
      </c>
      <c r="N107" s="11">
        <f t="shared" si="3"/>
        <v>0</v>
      </c>
      <c r="O107" s="11">
        <f t="shared" si="3"/>
        <v>0.5</v>
      </c>
      <c r="P107" s="11">
        <f t="shared" si="3"/>
        <v>0</v>
      </c>
      <c r="Q107" s="11">
        <f t="shared" si="3"/>
        <v>0</v>
      </c>
      <c r="R107" s="11">
        <f t="shared" si="3"/>
        <v>0</v>
      </c>
      <c r="S107" s="11">
        <f t="shared" si="3"/>
        <v>0.8888888889</v>
      </c>
      <c r="T107" s="38" t="s">
        <v>130</v>
      </c>
    </row>
    <row r="108" ht="12.75" customHeight="1">
      <c r="A108" s="2" t="s">
        <v>363</v>
      </c>
      <c r="B108" s="2">
        <f t="shared" ref="B108:S108" si="4">B105+B104+B103</f>
        <v>40</v>
      </c>
      <c r="C108" s="2">
        <f t="shared" si="4"/>
        <v>0</v>
      </c>
      <c r="D108" s="2">
        <f t="shared" si="4"/>
        <v>0</v>
      </c>
      <c r="E108" s="2">
        <f t="shared" si="4"/>
        <v>10</v>
      </c>
      <c r="F108" s="2">
        <f t="shared" si="4"/>
        <v>55</v>
      </c>
      <c r="G108" s="2">
        <f t="shared" si="4"/>
        <v>25</v>
      </c>
      <c r="H108" s="2">
        <f t="shared" si="4"/>
        <v>28</v>
      </c>
      <c r="I108" s="2">
        <f t="shared" si="4"/>
        <v>39</v>
      </c>
      <c r="J108" s="2">
        <f t="shared" si="4"/>
        <v>36</v>
      </c>
      <c r="K108" s="2">
        <f t="shared" si="4"/>
        <v>11</v>
      </c>
      <c r="L108" s="2">
        <f t="shared" si="4"/>
        <v>8</v>
      </c>
      <c r="M108" s="2">
        <f t="shared" si="4"/>
        <v>0</v>
      </c>
      <c r="N108" s="2">
        <f t="shared" si="4"/>
        <v>0</v>
      </c>
      <c r="O108" s="2">
        <f t="shared" si="4"/>
        <v>1</v>
      </c>
      <c r="P108" s="2">
        <f t="shared" si="4"/>
        <v>0</v>
      </c>
      <c r="Q108" s="2">
        <f t="shared" si="4"/>
        <v>0</v>
      </c>
      <c r="R108" s="2">
        <f t="shared" si="4"/>
        <v>0</v>
      </c>
      <c r="S108" s="2">
        <f t="shared" si="4"/>
        <v>4</v>
      </c>
      <c r="T108" s="38" t="s">
        <v>363</v>
      </c>
    </row>
    <row r="109" ht="12.75" customHeight="1">
      <c r="A109" s="2" t="s">
        <v>131</v>
      </c>
      <c r="B109" s="3">
        <f t="shared" ref="B109:S109" si="5">B102+B101</f>
        <v>57</v>
      </c>
      <c r="C109" s="3">
        <f t="shared" si="5"/>
        <v>69</v>
      </c>
      <c r="D109" s="3">
        <f t="shared" si="5"/>
        <v>69</v>
      </c>
      <c r="E109" s="3">
        <f t="shared" si="5"/>
        <v>14</v>
      </c>
      <c r="F109" s="3">
        <f t="shared" si="5"/>
        <v>69</v>
      </c>
      <c r="G109" s="3">
        <f t="shared" si="5"/>
        <v>41</v>
      </c>
      <c r="H109" s="3">
        <f t="shared" si="5"/>
        <v>46</v>
      </c>
      <c r="I109" s="3">
        <f t="shared" si="5"/>
        <v>60</v>
      </c>
      <c r="J109" s="3">
        <f t="shared" si="5"/>
        <v>66</v>
      </c>
      <c r="K109" s="3">
        <f t="shared" si="5"/>
        <v>19</v>
      </c>
      <c r="L109" s="3">
        <f t="shared" si="5"/>
        <v>18</v>
      </c>
      <c r="M109" s="3">
        <f t="shared" si="5"/>
        <v>69</v>
      </c>
      <c r="N109" s="3">
        <f t="shared" si="5"/>
        <v>69</v>
      </c>
      <c r="O109" s="3">
        <f t="shared" si="5"/>
        <v>4</v>
      </c>
      <c r="P109" s="3">
        <f t="shared" si="5"/>
        <v>0</v>
      </c>
      <c r="Q109" s="3">
        <f t="shared" si="5"/>
        <v>69</v>
      </c>
      <c r="R109" s="3">
        <f t="shared" si="5"/>
        <v>69</v>
      </c>
      <c r="S109" s="3">
        <f t="shared" si="5"/>
        <v>9</v>
      </c>
      <c r="T109" s="38" t="s">
        <v>131</v>
      </c>
    </row>
    <row r="110" ht="15.75" customHeight="1">
      <c r="T110" s="38"/>
    </row>
    <row r="111" ht="15.75" customHeight="1">
      <c r="A111" s="2" t="s">
        <v>132</v>
      </c>
      <c r="B111" s="3">
        <f>B106+G106+J106+I106</f>
        <v>298</v>
      </c>
      <c r="D111" s="2" t="s">
        <v>133</v>
      </c>
      <c r="E111" s="12">
        <f>B106+G106</f>
        <v>144</v>
      </c>
      <c r="G111" s="2" t="s">
        <v>134</v>
      </c>
      <c r="H111" s="3">
        <f>I106+J106</f>
        <v>154</v>
      </c>
      <c r="J111" s="2" t="s">
        <v>135</v>
      </c>
      <c r="K111" s="3">
        <f>B102+G102+I102+J102</f>
        <v>224</v>
      </c>
      <c r="M111" s="2" t="s">
        <v>136</v>
      </c>
      <c r="N111" s="11">
        <f t="shared" ref="N111:N113" si="6">B111/K111</f>
        <v>1.330357143</v>
      </c>
      <c r="T111" s="38"/>
    </row>
    <row r="112" ht="15.75" customHeight="1">
      <c r="A112" s="2" t="s">
        <v>137</v>
      </c>
      <c r="B112" s="3">
        <f>C106+E106+H106+L106+M106</f>
        <v>96</v>
      </c>
      <c r="D112" s="2" t="s">
        <v>138</v>
      </c>
      <c r="E112" s="3">
        <f>M106+L106</f>
        <v>17</v>
      </c>
      <c r="G112" s="2" t="s">
        <v>139</v>
      </c>
      <c r="H112" s="3">
        <f>C106+E106+H106</f>
        <v>79</v>
      </c>
      <c r="J112" s="2" t="s">
        <v>135</v>
      </c>
      <c r="K112" s="3">
        <f>C102+E102+H102+L102+M102</f>
        <v>78</v>
      </c>
      <c r="M112" s="2" t="s">
        <v>136</v>
      </c>
      <c r="N112" s="11">
        <f t="shared" si="6"/>
        <v>1.230769231</v>
      </c>
      <c r="T112" s="38"/>
    </row>
    <row r="113" ht="15.75" customHeight="1">
      <c r="A113" s="2" t="s">
        <v>140</v>
      </c>
      <c r="B113" s="3">
        <f>D106+F106+K106+N106</f>
        <v>160</v>
      </c>
      <c r="D113" s="2" t="s">
        <v>141</v>
      </c>
      <c r="E113" s="3">
        <f>K106+N106</f>
        <v>22</v>
      </c>
      <c r="G113" s="2" t="s">
        <v>142</v>
      </c>
      <c r="H113" s="3">
        <f>D106+F106</f>
        <v>138</v>
      </c>
      <c r="J113" s="2" t="s">
        <v>135</v>
      </c>
      <c r="K113" s="3">
        <f>D102+F102+K102+N102</f>
        <v>88</v>
      </c>
      <c r="M113" s="2" t="s">
        <v>136</v>
      </c>
      <c r="N113" s="11">
        <f t="shared" si="6"/>
        <v>1.818181818</v>
      </c>
      <c r="T113" s="38"/>
    </row>
    <row r="114" ht="15.75" customHeight="1">
      <c r="T114" s="38"/>
    </row>
    <row r="115" ht="15.75" customHeight="1">
      <c r="A115" s="20"/>
      <c r="B115" s="3" t="str">
        <f t="shared" ref="B115:R115" si="7">B1</f>
        <v>David</v>
      </c>
      <c r="C115" s="3" t="str">
        <f t="shared" si="7"/>
        <v>Carlos</v>
      </c>
      <c r="D115" s="3" t="str">
        <f t="shared" si="7"/>
        <v>Laura</v>
      </c>
      <c r="E115" s="3" t="str">
        <f t="shared" si="7"/>
        <v>Jorge</v>
      </c>
      <c r="F115" s="3" t="str">
        <f t="shared" si="7"/>
        <v>Sergio</v>
      </c>
      <c r="G115" s="3" t="str">
        <f t="shared" si="7"/>
        <v>Poli</v>
      </c>
      <c r="H115" s="3" t="str">
        <f t="shared" si="7"/>
        <v>Nuria</v>
      </c>
      <c r="I115" s="3" t="str">
        <f t="shared" si="7"/>
        <v>Sara</v>
      </c>
      <c r="J115" s="3" t="str">
        <f t="shared" si="7"/>
        <v>Dario</v>
      </c>
      <c r="K115" s="3" t="str">
        <f t="shared" si="7"/>
        <v>Pedro</v>
      </c>
      <c r="L115" s="3" t="str">
        <f t="shared" si="7"/>
        <v>Inés</v>
      </c>
      <c r="M115" s="3" t="str">
        <f t="shared" si="7"/>
        <v>Chema</v>
      </c>
      <c r="N115" s="3" t="str">
        <f t="shared" si="7"/>
        <v>Maite</v>
      </c>
      <c r="O115" s="3" t="str">
        <f t="shared" si="7"/>
        <v>Anuncia</v>
      </c>
      <c r="P115" s="3" t="str">
        <f t="shared" si="7"/>
        <v>Roberto</v>
      </c>
      <c r="Q115" s="3" t="str">
        <f t="shared" si="7"/>
        <v>Hana</v>
      </c>
      <c r="R115" s="3" t="str">
        <f t="shared" si="7"/>
        <v>Antonio</v>
      </c>
      <c r="S115" s="3" t="s">
        <v>472</v>
      </c>
      <c r="T115" s="40"/>
    </row>
    <row r="116" ht="15.75" customHeight="1">
      <c r="B116" s="32" t="s">
        <v>76</v>
      </c>
      <c r="F116" s="31" t="s">
        <v>71</v>
      </c>
      <c r="I116" s="30" t="s">
        <v>80</v>
      </c>
      <c r="T116" s="38"/>
    </row>
    <row r="117" ht="15.75" customHeight="1">
      <c r="A117" s="21" t="s">
        <v>143</v>
      </c>
      <c r="B117" s="21">
        <f>H111+H112+H113</f>
        <v>371</v>
      </c>
      <c r="E117" s="21" t="s">
        <v>144</v>
      </c>
      <c r="F117" s="22">
        <f>E111+E112+E113</f>
        <v>183</v>
      </c>
      <c r="T117" s="38"/>
    </row>
    <row r="118" ht="15.75" customHeight="1">
      <c r="T118" s="38"/>
    </row>
    <row r="119" ht="15.75" customHeight="1">
      <c r="A119" s="5" t="s">
        <v>145</v>
      </c>
      <c r="B119" s="5" t="s">
        <v>4</v>
      </c>
      <c r="T119" s="38"/>
    </row>
    <row r="120" ht="15.75" customHeight="1">
      <c r="T120" s="38"/>
    </row>
    <row r="121" ht="12.75" customHeight="1">
      <c r="A121" s="2" t="s">
        <v>69</v>
      </c>
      <c r="O121" s="2" t="s">
        <v>310</v>
      </c>
      <c r="T121" s="38" t="s">
        <v>69</v>
      </c>
    </row>
    <row r="122" ht="12.75" customHeight="1">
      <c r="A122" s="2" t="s">
        <v>311</v>
      </c>
      <c r="B122" s="2">
        <f>'2021'!B122+B106</f>
        <v>999.75</v>
      </c>
      <c r="C122" s="2">
        <f>'2021'!C122+C106</f>
        <v>445.5</v>
      </c>
      <c r="D122" s="2">
        <f>'2021'!D122+D106</f>
        <v>374</v>
      </c>
      <c r="E122" s="2">
        <f>'2021'!E122+E106</f>
        <v>549.25</v>
      </c>
      <c r="F122" s="2">
        <f>'2021'!F122+F106</f>
        <v>1142.25</v>
      </c>
      <c r="G122" s="2">
        <f>'2021'!G122+G106</f>
        <v>329</v>
      </c>
      <c r="H122" s="2">
        <f>'2021'!H122+H106</f>
        <v>434.25</v>
      </c>
      <c r="I122" s="2">
        <f>'2021'!I122+I106</f>
        <v>541.5</v>
      </c>
      <c r="J122" s="2">
        <f>'2021'!J122+J106</f>
        <v>468</v>
      </c>
      <c r="K122" s="2">
        <f>'2019'!K122+K106</f>
        <v>208</v>
      </c>
      <c r="L122" s="2">
        <f>'2021'!L122+L106</f>
        <v>84</v>
      </c>
      <c r="M122" s="2">
        <f>'2021'!M122+M106</f>
        <v>81</v>
      </c>
      <c r="N122" s="2">
        <f>'2021'!N122+N106</f>
        <v>12</v>
      </c>
      <c r="O122" s="2">
        <f>'2021'!O122+O106+P106</f>
        <v>57.25</v>
      </c>
      <c r="P122" s="2" t="s">
        <v>376</v>
      </c>
      <c r="Q122" s="2">
        <f>'2021'!Q122+Q106</f>
        <v>43</v>
      </c>
      <c r="R122" s="2">
        <f>'2021'!R122+R106</f>
        <v>72</v>
      </c>
      <c r="S122" s="2">
        <f>S106</f>
        <v>8</v>
      </c>
      <c r="T122" s="38" t="s">
        <v>311</v>
      </c>
    </row>
    <row r="123" ht="15.75" customHeight="1">
      <c r="T123" s="38"/>
    </row>
    <row r="124" ht="12.75" customHeight="1">
      <c r="A124" s="16" t="s">
        <v>85</v>
      </c>
      <c r="B124" s="16">
        <v>3.0</v>
      </c>
      <c r="C124" s="16">
        <v>2.0</v>
      </c>
      <c r="D124" s="16">
        <v>0.0</v>
      </c>
      <c r="E124" s="16">
        <v>1.0</v>
      </c>
      <c r="F124" s="16">
        <v>9.0</v>
      </c>
      <c r="G124" s="16">
        <v>0.0</v>
      </c>
      <c r="H124" s="16">
        <v>0.0</v>
      </c>
      <c r="I124" s="16">
        <v>0.0</v>
      </c>
      <c r="J124" s="16">
        <v>0.0</v>
      </c>
      <c r="K124" s="16">
        <v>0.0</v>
      </c>
      <c r="L124" s="16">
        <v>0.0</v>
      </c>
      <c r="M124" s="16">
        <v>0.0</v>
      </c>
      <c r="N124" s="16">
        <v>0.0</v>
      </c>
      <c r="O124" s="16">
        <v>0.0</v>
      </c>
      <c r="P124" s="2" t="s">
        <v>376</v>
      </c>
      <c r="Q124" s="3">
        <v>0.0</v>
      </c>
      <c r="R124" s="3">
        <v>0.0</v>
      </c>
      <c r="S124" s="16" t="s">
        <v>85</v>
      </c>
      <c r="T124" s="38"/>
    </row>
    <row r="125" ht="15.75" customHeight="1">
      <c r="T125" s="38"/>
    </row>
    <row r="126" ht="12.75" customHeight="1">
      <c r="A126" s="3" t="s">
        <v>365</v>
      </c>
      <c r="C126" s="3">
        <f>'2021'!C126+C109</f>
        <v>742</v>
      </c>
      <c r="T126" s="38"/>
    </row>
    <row r="127" ht="15.75" customHeight="1">
      <c r="T127" s="38"/>
    </row>
    <row r="128" ht="12.75" customHeight="1">
      <c r="A128" s="41">
        <f>A1</f>
        <v>2022</v>
      </c>
      <c r="B128" s="42" t="s">
        <v>0</v>
      </c>
      <c r="C128" s="42" t="s">
        <v>1</v>
      </c>
      <c r="D128" s="43" t="s">
        <v>2</v>
      </c>
      <c r="E128" s="42" t="s">
        <v>3</v>
      </c>
      <c r="F128" s="43" t="s">
        <v>4</v>
      </c>
      <c r="G128" s="43" t="s">
        <v>5</v>
      </c>
      <c r="H128" s="43" t="s">
        <v>6</v>
      </c>
      <c r="I128" s="43" t="s">
        <v>7</v>
      </c>
      <c r="J128" s="43" t="s">
        <v>8</v>
      </c>
      <c r="K128" s="43" t="s">
        <v>9</v>
      </c>
      <c r="L128" s="43" t="s">
        <v>10</v>
      </c>
      <c r="M128" s="42" t="s">
        <v>11</v>
      </c>
      <c r="N128" s="42" t="s">
        <v>12</v>
      </c>
      <c r="O128" s="43" t="s">
        <v>150</v>
      </c>
      <c r="P128" s="43" t="s">
        <v>151</v>
      </c>
      <c r="Q128" s="44" t="s">
        <v>345</v>
      </c>
      <c r="R128" s="42" t="s">
        <v>413</v>
      </c>
      <c r="S128" s="42" t="s">
        <v>472</v>
      </c>
      <c r="T128" s="45">
        <f>A1</f>
        <v>2022</v>
      </c>
      <c r="U128" s="46"/>
      <c r="V128" s="46"/>
      <c r="W128" s="46"/>
      <c r="X128" s="46"/>
      <c r="Y128" s="46"/>
      <c r="Z128" s="46"/>
      <c r="AA128" s="46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70"/>
  <conditionalFormatting sqref="B100:S107 N111:N113">
    <cfRule type="cellIs" dxfId="0" priority="1" stopIfTrue="1" operator="equal">
      <formula>"PLATA"</formula>
    </cfRule>
  </conditionalFormatting>
  <conditionalFormatting sqref="B100:S107 N111:N113">
    <cfRule type="cellIs" dxfId="1" priority="2" stopIfTrue="1" operator="equal">
      <formula>"ORO"</formula>
    </cfRule>
  </conditionalFormatting>
  <conditionalFormatting sqref="B100:S107 N111:N113">
    <cfRule type="cellIs" dxfId="2" priority="3" stopIfTrue="1" operator="equal">
      <formula>"BRONCE"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1" width="14.25"/>
    <col customWidth="1" min="22" max="26" width="14.38"/>
  </cols>
  <sheetData>
    <row r="1" ht="12.75" customHeight="1">
      <c r="A1" s="24">
        <v>2023.0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150</v>
      </c>
      <c r="P1" s="3" t="s">
        <v>151</v>
      </c>
      <c r="Q1" s="3" t="s">
        <v>345</v>
      </c>
      <c r="R1" s="3" t="s">
        <v>413</v>
      </c>
      <c r="S1" s="3" t="s">
        <v>472</v>
      </c>
      <c r="T1" s="3" t="s">
        <v>515</v>
      </c>
      <c r="U1" s="33">
        <f>A1</f>
        <v>2023</v>
      </c>
    </row>
    <row r="2">
      <c r="A2" s="2" t="s">
        <v>516</v>
      </c>
      <c r="B2" s="2" t="s">
        <v>90</v>
      </c>
      <c r="C2" s="2" t="s">
        <v>90</v>
      </c>
      <c r="D2" s="2" t="s">
        <v>17</v>
      </c>
      <c r="E2" s="2" t="s">
        <v>90</v>
      </c>
      <c r="F2" s="2" t="s">
        <v>16</v>
      </c>
      <c r="G2" s="2" t="s">
        <v>90</v>
      </c>
      <c r="H2" s="2" t="s">
        <v>89</v>
      </c>
      <c r="I2" s="2" t="s">
        <v>90</v>
      </c>
      <c r="J2" s="2" t="s">
        <v>90</v>
      </c>
      <c r="K2" s="2" t="s">
        <v>90</v>
      </c>
      <c r="L2" s="2" t="s">
        <v>90</v>
      </c>
      <c r="M2" s="2" t="s">
        <v>90</v>
      </c>
      <c r="N2" s="2" t="s">
        <v>89</v>
      </c>
      <c r="O2" s="2" t="s">
        <v>90</v>
      </c>
      <c r="P2" s="2" t="s">
        <v>90</v>
      </c>
      <c r="Q2" s="2" t="s">
        <v>90</v>
      </c>
      <c r="R2" s="2" t="s">
        <v>90</v>
      </c>
      <c r="S2" s="2" t="s">
        <v>90</v>
      </c>
      <c r="T2" s="2" t="s">
        <v>15</v>
      </c>
    </row>
    <row r="3">
      <c r="A3" s="2">
        <v>-1.0</v>
      </c>
      <c r="B3" s="2" t="s">
        <v>90</v>
      </c>
      <c r="C3" s="2" t="s">
        <v>90</v>
      </c>
      <c r="D3" s="2" t="s">
        <v>89</v>
      </c>
      <c r="E3" s="2" t="s">
        <v>90</v>
      </c>
      <c r="F3" s="2" t="s">
        <v>16</v>
      </c>
      <c r="G3" s="2" t="s">
        <v>90</v>
      </c>
      <c r="H3" s="2" t="s">
        <v>17</v>
      </c>
      <c r="I3" s="2" t="s">
        <v>90</v>
      </c>
      <c r="J3" s="2" t="s">
        <v>90</v>
      </c>
      <c r="K3" s="2" t="s">
        <v>90</v>
      </c>
      <c r="L3" s="2" t="s">
        <v>90</v>
      </c>
      <c r="M3" s="2" t="s">
        <v>90</v>
      </c>
      <c r="N3" s="2" t="s">
        <v>15</v>
      </c>
      <c r="O3" s="2" t="s">
        <v>90</v>
      </c>
      <c r="P3" s="2" t="s">
        <v>90</v>
      </c>
      <c r="Q3" s="2" t="s">
        <v>90</v>
      </c>
      <c r="R3" s="2" t="s">
        <v>90</v>
      </c>
      <c r="S3" s="2" t="s">
        <v>90</v>
      </c>
      <c r="T3" s="2" t="s">
        <v>89</v>
      </c>
    </row>
    <row r="4">
      <c r="A4" s="2" t="s">
        <v>517</v>
      </c>
      <c r="B4" s="2" t="s">
        <v>90</v>
      </c>
      <c r="C4" s="2" t="s">
        <v>90</v>
      </c>
      <c r="D4" s="2" t="s">
        <v>16</v>
      </c>
      <c r="E4" s="2" t="s">
        <v>90</v>
      </c>
      <c r="F4" s="2" t="s">
        <v>16</v>
      </c>
      <c r="G4" s="2" t="s">
        <v>90</v>
      </c>
      <c r="H4" s="2" t="s">
        <v>17</v>
      </c>
      <c r="I4" s="2" t="s">
        <v>90</v>
      </c>
      <c r="J4" s="2" t="s">
        <v>90</v>
      </c>
      <c r="K4" s="2" t="s">
        <v>90</v>
      </c>
      <c r="L4" s="2" t="s">
        <v>90</v>
      </c>
      <c r="M4" s="2" t="s">
        <v>90</v>
      </c>
      <c r="N4" s="2" t="s">
        <v>15</v>
      </c>
      <c r="O4" s="2" t="s">
        <v>90</v>
      </c>
      <c r="P4" s="2" t="s">
        <v>90</v>
      </c>
      <c r="Q4" s="2" t="s">
        <v>90</v>
      </c>
      <c r="R4" s="2" t="s">
        <v>90</v>
      </c>
      <c r="S4" s="2" t="s">
        <v>90</v>
      </c>
      <c r="T4" s="2" t="s">
        <v>89</v>
      </c>
    </row>
    <row r="5">
      <c r="A5" s="2">
        <v>-1.0</v>
      </c>
      <c r="C5" s="2" t="s">
        <v>90</v>
      </c>
      <c r="F5" s="2" t="s">
        <v>16</v>
      </c>
      <c r="H5" s="2"/>
      <c r="K5" s="2" t="s">
        <v>15</v>
      </c>
      <c r="N5" s="2" t="s">
        <v>17</v>
      </c>
    </row>
    <row r="6">
      <c r="A6" s="2" t="s">
        <v>518</v>
      </c>
      <c r="C6" s="2" t="s">
        <v>90</v>
      </c>
      <c r="F6" s="2" t="s">
        <v>15</v>
      </c>
      <c r="H6" s="2" t="s">
        <v>16</v>
      </c>
      <c r="T6" s="2" t="s">
        <v>15</v>
      </c>
    </row>
    <row r="7">
      <c r="A7" s="2" t="s">
        <v>519</v>
      </c>
      <c r="C7" s="2" t="s">
        <v>90</v>
      </c>
      <c r="D7" s="2" t="s">
        <v>17</v>
      </c>
      <c r="F7" s="2" t="s">
        <v>16</v>
      </c>
      <c r="T7" s="2" t="s">
        <v>16</v>
      </c>
    </row>
    <row r="8">
      <c r="A8" s="2" t="s">
        <v>201</v>
      </c>
      <c r="C8" s="2" t="s">
        <v>90</v>
      </c>
      <c r="D8" s="2" t="s">
        <v>16</v>
      </c>
      <c r="F8" s="2" t="s">
        <v>16</v>
      </c>
      <c r="T8" s="2" t="s">
        <v>17</v>
      </c>
    </row>
    <row r="9">
      <c r="A9" s="2" t="s">
        <v>520</v>
      </c>
      <c r="B9" s="2" t="s">
        <v>16</v>
      </c>
      <c r="C9" s="2" t="s">
        <v>90</v>
      </c>
      <c r="D9" s="2" t="s">
        <v>15</v>
      </c>
      <c r="F9" s="2" t="s">
        <v>15</v>
      </c>
      <c r="G9" s="2" t="s">
        <v>16</v>
      </c>
      <c r="I9" s="2" t="s">
        <v>16</v>
      </c>
      <c r="J9" s="2" t="s">
        <v>15</v>
      </c>
      <c r="K9" s="2" t="s">
        <v>16</v>
      </c>
      <c r="T9" s="2" t="s">
        <v>15</v>
      </c>
    </row>
    <row r="10">
      <c r="A10" s="2">
        <v>-1.0</v>
      </c>
      <c r="B10" s="2" t="s">
        <v>16</v>
      </c>
      <c r="C10" s="2" t="s">
        <v>90</v>
      </c>
      <c r="D10" s="2" t="s">
        <v>17</v>
      </c>
      <c r="G10" s="2" t="s">
        <v>17</v>
      </c>
      <c r="I10" s="2" t="s">
        <v>15</v>
      </c>
    </row>
    <row r="11">
      <c r="A11" s="2" t="s">
        <v>267</v>
      </c>
      <c r="B11" s="2" t="s">
        <v>16</v>
      </c>
      <c r="C11" s="2" t="s">
        <v>90</v>
      </c>
      <c r="D11" s="2" t="s">
        <v>16</v>
      </c>
      <c r="F11" s="2" t="s">
        <v>15</v>
      </c>
      <c r="G11" s="2" t="s">
        <v>15</v>
      </c>
      <c r="H11" s="2" t="s">
        <v>16</v>
      </c>
      <c r="I11" s="2" t="s">
        <v>15</v>
      </c>
      <c r="J11" s="2" t="s">
        <v>16</v>
      </c>
      <c r="K11" s="2" t="s">
        <v>16</v>
      </c>
      <c r="N11" s="2" t="s">
        <v>15</v>
      </c>
      <c r="T11" s="2" t="s">
        <v>15</v>
      </c>
    </row>
    <row r="12">
      <c r="A12" s="2" t="s">
        <v>521</v>
      </c>
      <c r="B12" s="2" t="s">
        <v>15</v>
      </c>
      <c r="C12" s="2" t="s">
        <v>90</v>
      </c>
      <c r="F12" s="2" t="s">
        <v>16</v>
      </c>
      <c r="G12" s="2" t="s">
        <v>15</v>
      </c>
      <c r="H12" s="2" t="s">
        <v>15</v>
      </c>
      <c r="I12" s="2" t="s">
        <v>16</v>
      </c>
      <c r="J12" s="2" t="s">
        <v>16</v>
      </c>
      <c r="K12" s="2" t="s">
        <v>15</v>
      </c>
      <c r="T12" s="2" t="s">
        <v>16</v>
      </c>
    </row>
    <row r="13">
      <c r="A13" s="2" t="s">
        <v>522</v>
      </c>
      <c r="C13" s="2" t="s">
        <v>90</v>
      </c>
      <c r="H13" s="2" t="s">
        <v>16</v>
      </c>
      <c r="J13" s="2" t="s">
        <v>16</v>
      </c>
      <c r="T13" s="2" t="s">
        <v>16</v>
      </c>
    </row>
    <row r="14">
      <c r="A14" s="47" t="s">
        <v>91</v>
      </c>
      <c r="B14" s="2" t="s">
        <v>15</v>
      </c>
      <c r="C14" s="2" t="s">
        <v>90</v>
      </c>
      <c r="D14" s="2" t="s">
        <v>16</v>
      </c>
      <c r="F14" s="2" t="s">
        <v>15</v>
      </c>
      <c r="H14" s="2" t="s">
        <v>16</v>
      </c>
      <c r="T14" s="2" t="s">
        <v>15</v>
      </c>
    </row>
    <row r="15">
      <c r="A15" s="2" t="s">
        <v>523</v>
      </c>
      <c r="C15" s="2" t="s">
        <v>90</v>
      </c>
      <c r="D15" s="2" t="s">
        <v>16</v>
      </c>
      <c r="F15" s="2" t="s">
        <v>17</v>
      </c>
      <c r="J15" s="2" t="s">
        <v>15</v>
      </c>
      <c r="T15" s="2" t="s">
        <v>17</v>
      </c>
    </row>
    <row r="16">
      <c r="A16" s="2" t="s">
        <v>110</v>
      </c>
      <c r="B16" s="2" t="s">
        <v>17</v>
      </c>
      <c r="C16" s="2" t="s">
        <v>90</v>
      </c>
      <c r="F16" s="2" t="s">
        <v>16</v>
      </c>
      <c r="J16" s="2" t="s">
        <v>15</v>
      </c>
      <c r="K16" s="2" t="s">
        <v>17</v>
      </c>
    </row>
    <row r="17">
      <c r="A17" s="2" t="s">
        <v>110</v>
      </c>
      <c r="B17" s="2" t="s">
        <v>15</v>
      </c>
      <c r="C17" s="2" t="s">
        <v>90</v>
      </c>
      <c r="F17" s="2" t="s">
        <v>15</v>
      </c>
      <c r="K17" s="2" t="s">
        <v>16</v>
      </c>
    </row>
    <row r="18">
      <c r="A18" s="2" t="s">
        <v>31</v>
      </c>
      <c r="B18" s="2" t="s">
        <v>15</v>
      </c>
      <c r="C18" s="2" t="s">
        <v>90</v>
      </c>
      <c r="H18" s="2" t="s">
        <v>17</v>
      </c>
      <c r="J18" s="2" t="s">
        <v>16</v>
      </c>
    </row>
    <row r="19">
      <c r="A19" s="2" t="s">
        <v>521</v>
      </c>
      <c r="B19" s="2" t="s">
        <v>16</v>
      </c>
      <c r="C19" s="2" t="s">
        <v>90</v>
      </c>
      <c r="I19" s="2" t="s">
        <v>15</v>
      </c>
      <c r="J19" s="2" t="s">
        <v>17</v>
      </c>
    </row>
    <row r="20">
      <c r="A20" s="2" t="s">
        <v>31</v>
      </c>
      <c r="B20" s="2" t="s">
        <v>17</v>
      </c>
      <c r="C20" s="2" t="s">
        <v>90</v>
      </c>
      <c r="F20" s="2" t="s">
        <v>17</v>
      </c>
      <c r="I20" s="2" t="s">
        <v>15</v>
      </c>
      <c r="J20" s="2" t="s">
        <v>16</v>
      </c>
    </row>
    <row r="21" ht="15.75" customHeight="1">
      <c r="A21" s="2" t="s">
        <v>524</v>
      </c>
      <c r="B21" s="2" t="s">
        <v>89</v>
      </c>
      <c r="C21" s="2" t="s">
        <v>90</v>
      </c>
      <c r="D21" s="2" t="s">
        <v>89</v>
      </c>
      <c r="E21" s="2" t="s">
        <v>90</v>
      </c>
      <c r="F21" s="2" t="s">
        <v>16</v>
      </c>
      <c r="G21" s="2" t="s">
        <v>90</v>
      </c>
      <c r="H21" s="2" t="s">
        <v>89</v>
      </c>
      <c r="I21" s="2" t="s">
        <v>89</v>
      </c>
      <c r="J21" s="2" t="s">
        <v>89</v>
      </c>
      <c r="K21" s="2" t="s">
        <v>90</v>
      </c>
      <c r="L21" s="2" t="s">
        <v>90</v>
      </c>
      <c r="M21" s="2" t="s">
        <v>90</v>
      </c>
      <c r="N21" s="2" t="s">
        <v>90</v>
      </c>
      <c r="O21" s="2" t="s">
        <v>90</v>
      </c>
      <c r="P21" s="2" t="s">
        <v>90</v>
      </c>
      <c r="Q21" s="2" t="s">
        <v>90</v>
      </c>
      <c r="R21" s="2" t="s">
        <v>90</v>
      </c>
      <c r="S21" s="2" t="s">
        <v>90</v>
      </c>
      <c r="T21" s="2" t="s">
        <v>90</v>
      </c>
    </row>
    <row r="22" ht="15.75" customHeight="1">
      <c r="A22" s="2" t="s">
        <v>521</v>
      </c>
      <c r="B22" s="2" t="s">
        <v>15</v>
      </c>
      <c r="C22" s="2" t="s">
        <v>90</v>
      </c>
      <c r="D22" s="2" t="s">
        <v>16</v>
      </c>
      <c r="F22" s="2" t="s">
        <v>15</v>
      </c>
      <c r="G22" s="2" t="s">
        <v>16</v>
      </c>
      <c r="H22" s="2" t="s">
        <v>15</v>
      </c>
      <c r="I22" s="2" t="s">
        <v>16</v>
      </c>
      <c r="J22" s="2" t="s">
        <v>16</v>
      </c>
      <c r="K22" s="2" t="s">
        <v>16</v>
      </c>
      <c r="N22" s="2" t="s">
        <v>15</v>
      </c>
      <c r="T22" s="2" t="s">
        <v>15</v>
      </c>
    </row>
    <row r="23" ht="15.75" customHeight="1">
      <c r="A23" s="2" t="s">
        <v>525</v>
      </c>
      <c r="B23" s="2" t="s">
        <v>15</v>
      </c>
      <c r="C23" s="2" t="s">
        <v>90</v>
      </c>
      <c r="D23" s="2" t="s">
        <v>16</v>
      </c>
      <c r="F23" s="2" t="s">
        <v>15</v>
      </c>
      <c r="G23" s="2" t="s">
        <v>16</v>
      </c>
      <c r="H23" s="2" t="s">
        <v>16</v>
      </c>
      <c r="J23" s="2" t="s">
        <v>15</v>
      </c>
      <c r="K23" s="2" t="s">
        <v>15</v>
      </c>
      <c r="N23" s="2" t="s">
        <v>16</v>
      </c>
      <c r="T23" s="2" t="s">
        <v>16</v>
      </c>
    </row>
    <row r="24" ht="15.75" customHeight="1">
      <c r="A24" s="2" t="s">
        <v>389</v>
      </c>
      <c r="C24" s="2" t="s">
        <v>90</v>
      </c>
      <c r="G24" s="2" t="s">
        <v>17</v>
      </c>
      <c r="I24" s="2" t="s">
        <v>15</v>
      </c>
      <c r="J24" s="2" t="s">
        <v>16</v>
      </c>
    </row>
    <row r="25" ht="15.75" customHeight="1">
      <c r="A25" s="2" t="s">
        <v>526</v>
      </c>
      <c r="C25" s="2" t="s">
        <v>90</v>
      </c>
      <c r="D25" s="2" t="s">
        <v>17</v>
      </c>
      <c r="F25" s="2" t="s">
        <v>16</v>
      </c>
      <c r="H25" s="2" t="s">
        <v>15</v>
      </c>
      <c r="T25" s="2" t="s">
        <v>16</v>
      </c>
    </row>
    <row r="26" ht="15.75" customHeight="1">
      <c r="A26" s="2" t="s">
        <v>527</v>
      </c>
      <c r="C26" s="2" t="s">
        <v>90</v>
      </c>
      <c r="D26" s="2" t="s">
        <v>17</v>
      </c>
      <c r="F26" s="2" t="s">
        <v>16</v>
      </c>
      <c r="H26" s="2" t="s">
        <v>15</v>
      </c>
    </row>
    <row r="27" ht="15.75" customHeight="1">
      <c r="A27" s="2" t="s">
        <v>23</v>
      </c>
      <c r="B27" s="2" t="s">
        <v>16</v>
      </c>
      <c r="C27" s="2" t="s">
        <v>90</v>
      </c>
      <c r="F27" s="2" t="s">
        <v>15</v>
      </c>
      <c r="J27" s="2" t="s">
        <v>17</v>
      </c>
    </row>
    <row r="28" ht="15.75" customHeight="1">
      <c r="A28" s="2" t="s">
        <v>23</v>
      </c>
      <c r="B28" s="2" t="s">
        <v>16</v>
      </c>
      <c r="C28" s="2" t="s">
        <v>90</v>
      </c>
      <c r="F28" s="2" t="s">
        <v>15</v>
      </c>
      <c r="J28" s="2" t="s">
        <v>17</v>
      </c>
    </row>
    <row r="29" ht="15.75" customHeight="1">
      <c r="A29" s="2" t="s">
        <v>29</v>
      </c>
      <c r="B29" s="2" t="s">
        <v>15</v>
      </c>
      <c r="C29" s="2" t="s">
        <v>90</v>
      </c>
      <c r="F29" s="2" t="s">
        <v>16</v>
      </c>
      <c r="J29" s="2" t="s">
        <v>15</v>
      </c>
      <c r="K29" s="2" t="s">
        <v>16</v>
      </c>
      <c r="T29" s="2" t="s">
        <v>16</v>
      </c>
    </row>
    <row r="30" ht="15.75" customHeight="1">
      <c r="A30" s="2" t="s">
        <v>528</v>
      </c>
      <c r="C30" s="2" t="s">
        <v>90</v>
      </c>
      <c r="D30" s="2" t="s">
        <v>15</v>
      </c>
      <c r="F30" s="2" t="s">
        <v>16</v>
      </c>
      <c r="T30" s="2" t="s">
        <v>17</v>
      </c>
    </row>
    <row r="31" ht="15.75" customHeight="1">
      <c r="A31" s="2" t="s">
        <v>44</v>
      </c>
      <c r="C31" s="2" t="s">
        <v>90</v>
      </c>
      <c r="D31" s="2" t="s">
        <v>17</v>
      </c>
      <c r="J31" s="2" t="s">
        <v>16</v>
      </c>
      <c r="K31" s="2" t="s">
        <v>15</v>
      </c>
    </row>
    <row r="32" ht="15.75" customHeight="1">
      <c r="A32" s="2" t="s">
        <v>27</v>
      </c>
      <c r="B32" s="2" t="s">
        <v>15</v>
      </c>
      <c r="C32" s="2" t="s">
        <v>90</v>
      </c>
      <c r="D32" s="2" t="s">
        <v>15</v>
      </c>
      <c r="G32" s="2" t="s">
        <v>15</v>
      </c>
      <c r="K32" s="2" t="s">
        <v>16</v>
      </c>
      <c r="N32" s="2" t="s">
        <v>15</v>
      </c>
    </row>
    <row r="33" ht="15.75" customHeight="1">
      <c r="A33" s="2" t="s">
        <v>27</v>
      </c>
      <c r="B33" s="2" t="s">
        <v>15</v>
      </c>
      <c r="C33" s="2" t="s">
        <v>90</v>
      </c>
      <c r="D33" s="2" t="s">
        <v>15</v>
      </c>
      <c r="G33" s="2" t="s">
        <v>15</v>
      </c>
      <c r="K33" s="2" t="s">
        <v>16</v>
      </c>
      <c r="N33" s="2" t="s">
        <v>15</v>
      </c>
    </row>
    <row r="34" ht="15.75" customHeight="1">
      <c r="A34" s="2" t="s">
        <v>529</v>
      </c>
      <c r="B34" s="2" t="s">
        <v>15</v>
      </c>
      <c r="C34" s="2" t="s">
        <v>90</v>
      </c>
      <c r="J34" s="2" t="s">
        <v>17</v>
      </c>
      <c r="K34" s="2" t="s">
        <v>16</v>
      </c>
    </row>
    <row r="35" ht="15.75" customHeight="1">
      <c r="A35" s="2" t="s">
        <v>530</v>
      </c>
      <c r="B35" s="2" t="s">
        <v>16</v>
      </c>
      <c r="C35" s="2" t="s">
        <v>90</v>
      </c>
      <c r="F35" s="2" t="s">
        <v>15</v>
      </c>
      <c r="G35" s="2" t="s">
        <v>17</v>
      </c>
      <c r="H35" s="2" t="s">
        <v>17</v>
      </c>
      <c r="K35" s="2" t="s">
        <v>17</v>
      </c>
      <c r="T35" s="2" t="s">
        <v>17</v>
      </c>
    </row>
    <row r="36" ht="15.75" customHeight="1">
      <c r="A36" s="2" t="s">
        <v>531</v>
      </c>
      <c r="C36" s="2" t="s">
        <v>90</v>
      </c>
      <c r="F36" s="2" t="s">
        <v>16</v>
      </c>
      <c r="H36" s="2" t="s">
        <v>15</v>
      </c>
      <c r="J36" s="2" t="s">
        <v>17</v>
      </c>
    </row>
    <row r="37" ht="15.75" customHeight="1">
      <c r="A37" s="2" t="s">
        <v>389</v>
      </c>
      <c r="B37" s="2" t="s">
        <v>15</v>
      </c>
      <c r="C37" s="2" t="s">
        <v>90</v>
      </c>
      <c r="F37" s="2" t="s">
        <v>16</v>
      </c>
      <c r="T37" s="2" t="s">
        <v>17</v>
      </c>
    </row>
    <row r="38" ht="15.75" customHeight="1">
      <c r="A38" s="2" t="s">
        <v>532</v>
      </c>
      <c r="B38" s="2" t="s">
        <v>15</v>
      </c>
      <c r="C38" s="2" t="s">
        <v>90</v>
      </c>
      <c r="D38" s="2" t="s">
        <v>16</v>
      </c>
      <c r="F38" s="2" t="s">
        <v>15</v>
      </c>
      <c r="H38" s="2" t="s">
        <v>16</v>
      </c>
      <c r="J38" s="2" t="s">
        <v>15</v>
      </c>
      <c r="T38" s="2" t="s">
        <v>15</v>
      </c>
    </row>
    <row r="39" ht="15.75" customHeight="1">
      <c r="A39" s="2" t="s">
        <v>26</v>
      </c>
      <c r="B39" s="2" t="s">
        <v>16</v>
      </c>
      <c r="C39" s="2" t="s">
        <v>90</v>
      </c>
      <c r="D39" s="2" t="s">
        <v>16</v>
      </c>
      <c r="F39" s="2" t="s">
        <v>16</v>
      </c>
      <c r="H39" s="2" t="s">
        <v>16</v>
      </c>
      <c r="J39" s="2" t="s">
        <v>16</v>
      </c>
    </row>
    <row r="40" ht="15.75" customHeight="1">
      <c r="A40" s="2" t="s">
        <v>533</v>
      </c>
      <c r="B40" s="2" t="s">
        <v>89</v>
      </c>
      <c r="C40" s="2" t="s">
        <v>90</v>
      </c>
      <c r="D40" s="2" t="s">
        <v>89</v>
      </c>
      <c r="E40" s="2" t="s">
        <v>90</v>
      </c>
      <c r="F40" s="2" t="s">
        <v>15</v>
      </c>
      <c r="G40" s="2" t="s">
        <v>17</v>
      </c>
      <c r="H40" s="2" t="s">
        <v>89</v>
      </c>
      <c r="I40" s="2" t="s">
        <v>89</v>
      </c>
      <c r="J40" s="2" t="s">
        <v>89</v>
      </c>
      <c r="K40" s="2" t="s">
        <v>89</v>
      </c>
      <c r="L40" s="2" t="s">
        <v>90</v>
      </c>
      <c r="M40" s="2" t="s">
        <v>90</v>
      </c>
      <c r="N40" s="2" t="s">
        <v>16</v>
      </c>
      <c r="O40" s="2" t="s">
        <v>89</v>
      </c>
      <c r="P40" s="2" t="s">
        <v>89</v>
      </c>
      <c r="Q40" s="2" t="s">
        <v>90</v>
      </c>
      <c r="R40" s="2" t="s">
        <v>90</v>
      </c>
      <c r="S40" s="2" t="s">
        <v>90</v>
      </c>
      <c r="T40" s="2" t="s">
        <v>89</v>
      </c>
    </row>
    <row r="41" ht="15.75" customHeight="1">
      <c r="A41" s="2" t="s">
        <v>534</v>
      </c>
      <c r="B41" s="2" t="s">
        <v>16</v>
      </c>
      <c r="C41" s="2" t="s">
        <v>90</v>
      </c>
      <c r="F41" s="2" t="s">
        <v>15</v>
      </c>
      <c r="J41" s="2" t="s">
        <v>17</v>
      </c>
    </row>
    <row r="42" ht="15.75" customHeight="1">
      <c r="A42" s="2" t="s">
        <v>110</v>
      </c>
      <c r="C42" s="2" t="s">
        <v>90</v>
      </c>
      <c r="F42" s="2" t="s">
        <v>16</v>
      </c>
      <c r="I42" s="2" t="s">
        <v>16</v>
      </c>
      <c r="J42" s="2" t="s">
        <v>16</v>
      </c>
      <c r="T42" s="2" t="s">
        <v>16</v>
      </c>
    </row>
    <row r="43" ht="15.75" customHeight="1">
      <c r="A43" s="2" t="s">
        <v>110</v>
      </c>
      <c r="B43" s="2" t="s">
        <v>16</v>
      </c>
      <c r="C43" s="2" t="s">
        <v>90</v>
      </c>
      <c r="G43" s="2" t="s">
        <v>16</v>
      </c>
      <c r="I43" s="2" t="s">
        <v>16</v>
      </c>
      <c r="J43" s="2" t="s">
        <v>16</v>
      </c>
    </row>
    <row r="44" ht="15.75" customHeight="1">
      <c r="A44" s="2" t="s">
        <v>384</v>
      </c>
      <c r="C44" s="2" t="s">
        <v>90</v>
      </c>
      <c r="F44" s="2" t="s">
        <v>15</v>
      </c>
      <c r="J44" s="2" t="s">
        <v>17</v>
      </c>
      <c r="T44" s="2" t="s">
        <v>16</v>
      </c>
    </row>
    <row r="45" ht="15.75" customHeight="1">
      <c r="A45" s="2" t="s">
        <v>384</v>
      </c>
      <c r="C45" s="2" t="s">
        <v>90</v>
      </c>
      <c r="F45" s="2" t="s">
        <v>16</v>
      </c>
      <c r="J45" s="2" t="s">
        <v>15</v>
      </c>
      <c r="T45" s="2" t="s">
        <v>17</v>
      </c>
    </row>
    <row r="46" ht="15.75" customHeight="1">
      <c r="A46" s="2" t="s">
        <v>92</v>
      </c>
      <c r="C46" s="2" t="s">
        <v>90</v>
      </c>
      <c r="F46" s="2" t="s">
        <v>15</v>
      </c>
      <c r="H46" s="2" t="s">
        <v>16</v>
      </c>
      <c r="J46" s="2" t="s">
        <v>16</v>
      </c>
      <c r="T46" s="2" t="s">
        <v>15</v>
      </c>
    </row>
    <row r="47" ht="15.75" customHeight="1">
      <c r="A47" s="2" t="s">
        <v>535</v>
      </c>
      <c r="B47" s="2" t="s">
        <v>15</v>
      </c>
      <c r="C47" s="2" t="s">
        <v>90</v>
      </c>
      <c r="G47" s="2" t="s">
        <v>15</v>
      </c>
      <c r="H47" s="2" t="s">
        <v>16</v>
      </c>
    </row>
    <row r="48" ht="15.75" customHeight="1">
      <c r="A48" s="2" t="s">
        <v>536</v>
      </c>
      <c r="C48" s="2" t="s">
        <v>90</v>
      </c>
      <c r="D48" s="2" t="s">
        <v>17</v>
      </c>
      <c r="H48" s="2" t="s">
        <v>16</v>
      </c>
      <c r="T48" s="2" t="s">
        <v>15</v>
      </c>
    </row>
    <row r="49" ht="15.75" customHeight="1">
      <c r="A49" s="2" t="s">
        <v>389</v>
      </c>
      <c r="C49" s="2" t="s">
        <v>90</v>
      </c>
      <c r="D49" s="2" t="s">
        <v>16</v>
      </c>
      <c r="I49" s="2" t="s">
        <v>17</v>
      </c>
      <c r="T49" s="2" t="s">
        <v>15</v>
      </c>
    </row>
    <row r="50" ht="15.75" customHeight="1">
      <c r="A50" s="2" t="s">
        <v>528</v>
      </c>
      <c r="C50" s="2" t="s">
        <v>90</v>
      </c>
      <c r="D50" s="2" t="s">
        <v>17</v>
      </c>
      <c r="F50" s="2" t="s">
        <v>16</v>
      </c>
      <c r="H50" s="2" t="s">
        <v>15</v>
      </c>
    </row>
    <row r="51" ht="15.75" customHeight="1">
      <c r="A51" s="2" t="s">
        <v>537</v>
      </c>
      <c r="C51" s="2" t="s">
        <v>16</v>
      </c>
      <c r="F51" s="2" t="s">
        <v>17</v>
      </c>
      <c r="G51" s="2" t="s">
        <v>15</v>
      </c>
      <c r="I51" s="2" t="s">
        <v>15</v>
      </c>
      <c r="J51" s="2" t="s">
        <v>17</v>
      </c>
      <c r="Q51" s="2" t="s">
        <v>16</v>
      </c>
    </row>
    <row r="52" ht="15.75" customHeight="1">
      <c r="A52" s="2" t="s">
        <v>538</v>
      </c>
      <c r="B52" s="2" t="s">
        <v>17</v>
      </c>
      <c r="C52" s="2" t="s">
        <v>89</v>
      </c>
      <c r="D52" s="2" t="s">
        <v>15</v>
      </c>
      <c r="F52" s="2" t="s">
        <v>16</v>
      </c>
      <c r="G52" s="2" t="s">
        <v>17</v>
      </c>
      <c r="I52" s="2" t="s">
        <v>16</v>
      </c>
      <c r="J52" s="2" t="s">
        <v>16</v>
      </c>
      <c r="R52" s="2" t="s">
        <v>15</v>
      </c>
      <c r="T52" s="2" t="s">
        <v>16</v>
      </c>
    </row>
    <row r="53" ht="15.75" customHeight="1">
      <c r="A53" s="2" t="s">
        <v>377</v>
      </c>
      <c r="C53" s="2" t="s">
        <v>89</v>
      </c>
      <c r="I53" s="2" t="s">
        <v>16</v>
      </c>
    </row>
    <row r="54" ht="15.75" customHeight="1">
      <c r="A54" s="2" t="s">
        <v>539</v>
      </c>
      <c r="C54" s="2" t="s">
        <v>89</v>
      </c>
      <c r="E54" s="2" t="s">
        <v>16</v>
      </c>
      <c r="F54" s="2" t="s">
        <v>16</v>
      </c>
      <c r="J54" s="2" t="s">
        <v>16</v>
      </c>
      <c r="R54" s="2" t="s">
        <v>16</v>
      </c>
    </row>
    <row r="55" ht="15.75" customHeight="1">
      <c r="A55" s="2" t="s">
        <v>39</v>
      </c>
      <c r="B55" s="2" t="s">
        <v>16</v>
      </c>
      <c r="C55" s="2" t="s">
        <v>89</v>
      </c>
      <c r="E55" s="2" t="s">
        <v>16</v>
      </c>
      <c r="F55" s="2" t="s">
        <v>16</v>
      </c>
      <c r="I55" s="2" t="s">
        <v>16</v>
      </c>
      <c r="J55" s="2" t="s">
        <v>16</v>
      </c>
    </row>
    <row r="56" ht="15.75" customHeight="1">
      <c r="A56" s="2" t="s">
        <v>540</v>
      </c>
      <c r="C56" s="2" t="s">
        <v>89</v>
      </c>
      <c r="D56" s="2" t="s">
        <v>16</v>
      </c>
      <c r="F56" s="2" t="s">
        <v>17</v>
      </c>
      <c r="I56" s="2" t="s">
        <v>15</v>
      </c>
      <c r="R56" s="2" t="s">
        <v>16</v>
      </c>
      <c r="T56" s="2" t="s">
        <v>17</v>
      </c>
    </row>
    <row r="57" ht="15.75" customHeight="1">
      <c r="A57" s="2" t="s">
        <v>31</v>
      </c>
      <c r="C57" s="2" t="s">
        <v>89</v>
      </c>
      <c r="F57" s="2" t="s">
        <v>15</v>
      </c>
      <c r="I57" s="2" t="s">
        <v>15</v>
      </c>
      <c r="K57" s="2" t="s">
        <v>15</v>
      </c>
      <c r="R57" s="2" t="s">
        <v>16</v>
      </c>
    </row>
    <row r="58" ht="15.75" customHeight="1">
      <c r="A58" s="2" t="s">
        <v>541</v>
      </c>
      <c r="C58" s="2" t="s">
        <v>89</v>
      </c>
      <c r="D58" s="2" t="s">
        <v>16</v>
      </c>
    </row>
    <row r="59" ht="15.75" customHeight="1">
      <c r="A59" s="2" t="s">
        <v>542</v>
      </c>
      <c r="B59" s="2" t="s">
        <v>16</v>
      </c>
      <c r="C59" s="2" t="s">
        <v>89</v>
      </c>
      <c r="F59" s="2" t="s">
        <v>15</v>
      </c>
      <c r="J59" s="2" t="s">
        <v>15</v>
      </c>
      <c r="K59" s="2" t="s">
        <v>16</v>
      </c>
      <c r="O59" s="2" t="s">
        <v>17</v>
      </c>
    </row>
    <row r="60" ht="15.75" customHeight="1">
      <c r="A60" s="2" t="s">
        <v>18</v>
      </c>
      <c r="B60" s="2" t="s">
        <v>15</v>
      </c>
      <c r="C60" s="2" t="s">
        <v>15</v>
      </c>
      <c r="E60" s="2" t="s">
        <v>15</v>
      </c>
      <c r="F60" s="2" t="s">
        <v>16</v>
      </c>
      <c r="G60" s="2" t="s">
        <v>16</v>
      </c>
      <c r="I60" s="2" t="s">
        <v>16</v>
      </c>
      <c r="J60" s="2" t="s">
        <v>16</v>
      </c>
      <c r="M60" s="2" t="s">
        <v>15</v>
      </c>
      <c r="R60" s="2" t="s">
        <v>16</v>
      </c>
    </row>
    <row r="61" ht="15.75" customHeight="1">
      <c r="A61" s="2" t="s">
        <v>158</v>
      </c>
      <c r="C61" s="2" t="s">
        <v>17</v>
      </c>
      <c r="F61" s="2" t="s">
        <v>16</v>
      </c>
      <c r="J61" s="2" t="s">
        <v>15</v>
      </c>
    </row>
    <row r="62" ht="15.75" customHeight="1">
      <c r="A62" s="2" t="s">
        <v>29</v>
      </c>
      <c r="C62" s="2" t="s">
        <v>16</v>
      </c>
      <c r="F62" s="2" t="s">
        <v>16</v>
      </c>
      <c r="J62" s="2" t="s">
        <v>15</v>
      </c>
      <c r="K62" s="2" t="s">
        <v>16</v>
      </c>
      <c r="R62" s="2" t="s">
        <v>15</v>
      </c>
      <c r="S62" s="2" t="s">
        <v>15</v>
      </c>
      <c r="T62" s="2" t="s">
        <v>16</v>
      </c>
    </row>
    <row r="63" ht="15.75" customHeight="1">
      <c r="A63" s="2" t="s">
        <v>23</v>
      </c>
      <c r="B63" s="2" t="s">
        <v>16</v>
      </c>
      <c r="C63" s="2" t="s">
        <v>89</v>
      </c>
      <c r="I63" s="2" t="s">
        <v>15</v>
      </c>
      <c r="R63" s="2" t="s">
        <v>17</v>
      </c>
    </row>
    <row r="64" ht="15.75" customHeight="1">
      <c r="A64" s="47" t="s">
        <v>91</v>
      </c>
      <c r="B64" s="2" t="s">
        <v>15</v>
      </c>
      <c r="C64" s="2" t="s">
        <v>15</v>
      </c>
      <c r="D64" s="2" t="s">
        <v>15</v>
      </c>
      <c r="F64" s="2" t="s">
        <v>16</v>
      </c>
      <c r="J64" s="2" t="s">
        <v>15</v>
      </c>
      <c r="Q64" s="2" t="s">
        <v>15</v>
      </c>
      <c r="R64" s="2" t="s">
        <v>15</v>
      </c>
      <c r="T64" s="2" t="s">
        <v>16</v>
      </c>
    </row>
    <row r="65" ht="15.75" customHeight="1">
      <c r="A65" s="2" t="s">
        <v>525</v>
      </c>
      <c r="B65" s="2" t="s">
        <v>16</v>
      </c>
      <c r="C65" s="2" t="s">
        <v>90</v>
      </c>
      <c r="D65" s="2" t="s">
        <v>15</v>
      </c>
      <c r="E65" s="2" t="s">
        <v>16</v>
      </c>
      <c r="F65" s="2" t="s">
        <v>16</v>
      </c>
      <c r="G65" s="2" t="s">
        <v>15</v>
      </c>
      <c r="H65" s="2" t="s">
        <v>15</v>
      </c>
      <c r="I65" s="2" t="s">
        <v>15</v>
      </c>
      <c r="J65" s="2" t="s">
        <v>16</v>
      </c>
      <c r="K65" s="2" t="s">
        <v>16</v>
      </c>
      <c r="L65" s="2" t="s">
        <v>15</v>
      </c>
      <c r="M65" s="2" t="s">
        <v>16</v>
      </c>
      <c r="N65" s="2" t="s">
        <v>15</v>
      </c>
      <c r="R65" s="2" t="s">
        <v>16</v>
      </c>
      <c r="T65" s="2" t="s">
        <v>15</v>
      </c>
    </row>
    <row r="66" ht="15.75" customHeight="1">
      <c r="A66" s="2" t="s">
        <v>196</v>
      </c>
      <c r="C66" s="2" t="s">
        <v>17</v>
      </c>
      <c r="F66" s="2" t="s">
        <v>16</v>
      </c>
      <c r="J66" s="2" t="s">
        <v>15</v>
      </c>
    </row>
    <row r="67" ht="15.75" customHeight="1">
      <c r="A67" s="2" t="s">
        <v>527</v>
      </c>
      <c r="C67" s="2" t="s">
        <v>15</v>
      </c>
      <c r="F67" s="2" t="s">
        <v>16</v>
      </c>
      <c r="J67" s="2" t="s">
        <v>17</v>
      </c>
    </row>
    <row r="68" ht="15.75" customHeight="1">
      <c r="A68" s="2" t="s">
        <v>513</v>
      </c>
      <c r="C68" s="2" t="s">
        <v>89</v>
      </c>
      <c r="F68" s="2" t="s">
        <v>16</v>
      </c>
      <c r="J68" s="2" t="s">
        <v>16</v>
      </c>
      <c r="K68" s="2" t="s">
        <v>16</v>
      </c>
    </row>
    <row r="69" ht="15.75" customHeight="1">
      <c r="A69" s="2" t="s">
        <v>543</v>
      </c>
      <c r="C69" s="2" t="s">
        <v>90</v>
      </c>
      <c r="L69" s="2" t="s">
        <v>16</v>
      </c>
      <c r="S69" s="2" t="s">
        <v>16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2.75" customHeight="1">
      <c r="A100" s="2" t="s">
        <v>89</v>
      </c>
      <c r="B100" s="3">
        <f t="array" ref="B100">SUM(IF(B2:B99="v",1))</f>
        <v>2</v>
      </c>
      <c r="C100" s="3">
        <f t="array" ref="C100">SUM(IF(C2:C99="v",1))</f>
        <v>10</v>
      </c>
      <c r="D100" s="3">
        <f t="array" ref="D100">SUM(IF(D2:D99="v",1))</f>
        <v>3</v>
      </c>
      <c r="E100" s="3">
        <f t="array" ref="E100">SUM(IF(E2:E99="v",1))</f>
        <v>0</v>
      </c>
      <c r="F100" s="3">
        <f t="array" ref="F100">SUM(IF(F2:F99="v",1))</f>
        <v>0</v>
      </c>
      <c r="G100" s="3">
        <f t="array" ref="G100">SUM(IF(G2:G99="v",1))</f>
        <v>0</v>
      </c>
      <c r="H100" s="3">
        <f t="array" ref="H100">SUM(IF(H2:H99="v",1))</f>
        <v>3</v>
      </c>
      <c r="I100" s="3">
        <f t="array" ref="I100">SUM(IF(I2:I99="v",1))</f>
        <v>2</v>
      </c>
      <c r="J100" s="3">
        <f t="array" ref="J100">SUM(IF(J2:J99="v",1))</f>
        <v>2</v>
      </c>
      <c r="K100" s="3">
        <f t="array" ref="K100">SUM(IF(K2:K99="v",1))</f>
        <v>1</v>
      </c>
      <c r="L100" s="3">
        <f t="array" ref="L100">SUM(IF(L2:L99="v",1))</f>
        <v>0</v>
      </c>
      <c r="M100" s="3">
        <f t="array" ref="M100">SUM(IF(M2:M99="v",1))</f>
        <v>0</v>
      </c>
      <c r="N100" s="3">
        <f t="array" ref="N100">SUM(IF(N2:N99="v",1))</f>
        <v>1</v>
      </c>
      <c r="O100" s="3">
        <f t="array" ref="O100">SUM(IF(O2:O99="v",1))</f>
        <v>1</v>
      </c>
      <c r="P100" s="3">
        <f t="array" ref="P100">SUM(IF(P2:P99="v",1))</f>
        <v>1</v>
      </c>
      <c r="Q100" s="3">
        <f t="array" ref="Q100">SUM(IF(Q2:Q99="v",1))</f>
        <v>0</v>
      </c>
      <c r="R100" s="3">
        <f t="array" ref="R100">SUM(IF(R2:R99="v",1))</f>
        <v>0</v>
      </c>
      <c r="S100" s="3">
        <f t="array" ref="S100">SUM(IF(S2:S99="v",1))</f>
        <v>0</v>
      </c>
      <c r="T100" s="3">
        <f t="array" ref="T100">SUM(IF(T2:T99="v",1))</f>
        <v>3</v>
      </c>
      <c r="U100" s="38" t="s">
        <v>89</v>
      </c>
    </row>
    <row r="101" ht="12.75" customHeight="1">
      <c r="A101" s="2" t="s">
        <v>90</v>
      </c>
      <c r="B101" s="3">
        <f t="array" ref="B101">SUM(IF(B2:B99="x",1))</f>
        <v>3</v>
      </c>
      <c r="C101" s="3">
        <f t="array" ref="C101">SUM(IF(C2:C99="x",1))</f>
        <v>51</v>
      </c>
      <c r="D101" s="3">
        <f t="array" ref="D101">SUM(IF(D2:D99="x",1))</f>
        <v>0</v>
      </c>
      <c r="E101" s="3">
        <f t="array" ref="E101">SUM(IF(E2:E99="x",1))</f>
        <v>5</v>
      </c>
      <c r="F101" s="3">
        <f t="array" ref="F101">SUM(IF(F2:F99="x",1))</f>
        <v>0</v>
      </c>
      <c r="G101" s="3">
        <f t="array" ref="G101">SUM(IF(G2:G99="x",1))</f>
        <v>4</v>
      </c>
      <c r="H101" s="3">
        <f t="array" ref="H101">SUM(IF(H2:H99="x",1))</f>
        <v>0</v>
      </c>
      <c r="I101" s="3">
        <f t="array" ref="I101">SUM(IF(I2:I99="x",1))</f>
        <v>3</v>
      </c>
      <c r="J101" s="3">
        <f t="array" ref="J101">SUM(IF(J2:J99="x",1))</f>
        <v>3</v>
      </c>
      <c r="K101" s="3">
        <f t="array" ref="K101">SUM(IF(K2:K99="x",1))</f>
        <v>4</v>
      </c>
      <c r="L101" s="3">
        <f t="array" ref="L101">SUM(IF(L2:L99="x",1))</f>
        <v>5</v>
      </c>
      <c r="M101" s="3">
        <f t="array" ref="M101">SUM(IF(M2:M99="x",1))</f>
        <v>5</v>
      </c>
      <c r="N101" s="3">
        <f t="array" ref="N101">SUM(IF(N2:N99="x",1))</f>
        <v>1</v>
      </c>
      <c r="O101" s="3">
        <f t="array" ref="O101">SUM(IF(O2:O99="x",1))</f>
        <v>4</v>
      </c>
      <c r="P101" s="3">
        <f t="array" ref="P101">SUM(IF(P2:P99="x",1))</f>
        <v>4</v>
      </c>
      <c r="Q101" s="3">
        <f t="array" ref="Q101">SUM(IF(Q2:Q99="x",1))</f>
        <v>5</v>
      </c>
      <c r="R101" s="3">
        <f t="array" ref="R101">SUM(IF(R2:R99="x",1))</f>
        <v>5</v>
      </c>
      <c r="S101" s="3">
        <f t="array" ref="S101">SUM(IF(S2:S99="x",1))</f>
        <v>5</v>
      </c>
      <c r="T101" s="3">
        <f t="array" ref="T101">SUM(IF(T2:T99="x",1))</f>
        <v>1</v>
      </c>
      <c r="U101" s="38" t="s">
        <v>90</v>
      </c>
    </row>
    <row r="102" ht="12.75" customHeight="1">
      <c r="A102" s="2" t="s">
        <v>128</v>
      </c>
      <c r="B102" s="3">
        <f t="shared" ref="B102:T102" si="1">B100+B103+B104+B105</f>
        <v>34</v>
      </c>
      <c r="C102" s="3">
        <f t="shared" si="1"/>
        <v>17</v>
      </c>
      <c r="D102" s="3">
        <f t="shared" si="1"/>
        <v>30</v>
      </c>
      <c r="E102" s="3">
        <f t="shared" si="1"/>
        <v>4</v>
      </c>
      <c r="F102" s="3">
        <f t="shared" si="1"/>
        <v>51</v>
      </c>
      <c r="G102" s="3">
        <f t="shared" si="1"/>
        <v>17</v>
      </c>
      <c r="H102" s="3">
        <f t="shared" si="1"/>
        <v>24</v>
      </c>
      <c r="I102" s="3">
        <f t="shared" si="1"/>
        <v>22</v>
      </c>
      <c r="J102" s="3">
        <f t="shared" si="1"/>
        <v>41</v>
      </c>
      <c r="K102" s="3">
        <f t="shared" si="1"/>
        <v>20</v>
      </c>
      <c r="L102" s="3">
        <f t="shared" si="1"/>
        <v>2</v>
      </c>
      <c r="M102" s="3">
        <f t="shared" si="1"/>
        <v>2</v>
      </c>
      <c r="N102" s="3">
        <f t="shared" si="1"/>
        <v>11</v>
      </c>
      <c r="O102" s="3">
        <f t="shared" si="1"/>
        <v>2</v>
      </c>
      <c r="P102" s="3">
        <f t="shared" si="1"/>
        <v>1</v>
      </c>
      <c r="Q102" s="3">
        <f t="shared" si="1"/>
        <v>2</v>
      </c>
      <c r="R102" s="3">
        <f t="shared" si="1"/>
        <v>9</v>
      </c>
      <c r="S102" s="3">
        <f t="shared" si="1"/>
        <v>2</v>
      </c>
      <c r="T102" s="3">
        <f t="shared" si="1"/>
        <v>32</v>
      </c>
      <c r="U102" s="38" t="s">
        <v>128</v>
      </c>
    </row>
    <row r="103" ht="12.75" customHeight="1">
      <c r="A103" s="2" t="s">
        <v>17</v>
      </c>
      <c r="B103" s="3">
        <f t="array" ref="B103">SUM(IF(B$2:B$99=$A103,1))</f>
        <v>3</v>
      </c>
      <c r="C103" s="3">
        <f t="array" ref="C103">SUM(IF(C$2:C$99=$A103,1))</f>
        <v>2</v>
      </c>
      <c r="D103" s="3">
        <f t="array" ref="D103">SUM(IF(D$2:D$99=$A103,1))</f>
        <v>8</v>
      </c>
      <c r="E103" s="3">
        <f t="array" ref="E103">SUM(IF(E$2:E$99=$A103,1))</f>
        <v>0</v>
      </c>
      <c r="F103" s="3">
        <f t="array" ref="F103">SUM(IF(F$2:F$99=$A103,1))</f>
        <v>4</v>
      </c>
      <c r="G103" s="3">
        <f t="array" ref="G103">SUM(IF(G$2:G$99=$A103,1))</f>
        <v>5</v>
      </c>
      <c r="H103" s="3">
        <f t="array" ref="H103">SUM(IF(H$2:H$99=$A103,1))</f>
        <v>4</v>
      </c>
      <c r="I103" s="3">
        <f t="array" ref="I103">SUM(IF(I$2:I$99=$A103,1))</f>
        <v>1</v>
      </c>
      <c r="J103" s="3">
        <f t="array" ref="J103">SUM(IF(J$2:J$99=$A103,1))</f>
        <v>9</v>
      </c>
      <c r="K103" s="3">
        <f t="array" ref="K103">SUM(IF(K$2:K$99=$A103,1))</f>
        <v>2</v>
      </c>
      <c r="L103" s="3">
        <f t="array" ref="L103">SUM(IF(L$2:L$99=$A103,1))</f>
        <v>0</v>
      </c>
      <c r="M103" s="3">
        <f t="array" ref="M103">SUM(IF(M$2:M$99=$A103,1))</f>
        <v>0</v>
      </c>
      <c r="N103" s="3">
        <f t="array" ref="N103">SUM(IF(N$2:N$99=$A103,1))</f>
        <v>1</v>
      </c>
      <c r="O103" s="3">
        <f t="array" ref="O103">SUM(IF(O$2:O$99=$A103,1))</f>
        <v>1</v>
      </c>
      <c r="P103" s="3">
        <f t="array" ref="P103">SUM(IF(P$2:P$99=$A103,1))</f>
        <v>0</v>
      </c>
      <c r="Q103" s="3">
        <f t="array" ref="Q103">SUM(IF(Q$2:Q$99=$A103,1))</f>
        <v>0</v>
      </c>
      <c r="R103" s="3">
        <f t="array" ref="R103">SUM(IF(R$2:R$99=$A103,1))</f>
        <v>1</v>
      </c>
      <c r="S103" s="3">
        <f t="array" ref="S103">SUM(IF(S$2:S$99=$A103,1))</f>
        <v>0</v>
      </c>
      <c r="T103" s="3">
        <f t="array" ref="T103">SUM(IF(T$2:T$99=$A103,1))</f>
        <v>7</v>
      </c>
      <c r="U103" s="38" t="s">
        <v>17</v>
      </c>
    </row>
    <row r="104" ht="12.75" customHeight="1">
      <c r="A104" s="2" t="s">
        <v>15</v>
      </c>
      <c r="B104" s="3">
        <f t="array" ref="B104">SUM(IF(B$2:B$99=$A104,1))</f>
        <v>15</v>
      </c>
      <c r="C104" s="3">
        <f t="array" ref="C104">SUM(IF(C$2:C$99=$A104,1))</f>
        <v>3</v>
      </c>
      <c r="D104" s="3">
        <f t="array" ref="D104">SUM(IF(D$2:D$99=$A104,1))</f>
        <v>7</v>
      </c>
      <c r="E104" s="3">
        <f t="array" ref="E104">SUM(IF(E$2:E$99=$A104,1))</f>
        <v>1</v>
      </c>
      <c r="F104" s="3">
        <f t="array" ref="F104">SUM(IF(F$2:F$99=$A104,1))</f>
        <v>17</v>
      </c>
      <c r="G104" s="3">
        <f t="array" ref="G104">SUM(IF(G$2:G$99=$A104,1))</f>
        <v>7</v>
      </c>
      <c r="H104" s="3">
        <f t="array" ref="H104">SUM(IF(H$2:H$99=$A104,1))</f>
        <v>7</v>
      </c>
      <c r="I104" s="3">
        <f t="array" ref="I104">SUM(IF(I$2:I$99=$A104,1))</f>
        <v>10</v>
      </c>
      <c r="J104" s="3">
        <f t="array" ref="J104">SUM(IF(J$2:J$99=$A104,1))</f>
        <v>12</v>
      </c>
      <c r="K104" s="3">
        <f t="array" ref="K104">SUM(IF(K$2:K$99=$A104,1))</f>
        <v>5</v>
      </c>
      <c r="L104" s="3">
        <f t="array" ref="L104">SUM(IF(L$2:L$99=$A104,1))</f>
        <v>1</v>
      </c>
      <c r="M104" s="3">
        <f t="array" ref="M104">SUM(IF(M$2:M$99=$A104,1))</f>
        <v>1</v>
      </c>
      <c r="N104" s="3">
        <f t="array" ref="N104">SUM(IF(N$2:N$99=$A104,1))</f>
        <v>7</v>
      </c>
      <c r="O104" s="3">
        <f t="array" ref="O104">SUM(IF(O$2:O$99=$A104,1))</f>
        <v>0</v>
      </c>
      <c r="P104" s="3">
        <f t="array" ref="P104">SUM(IF(P$2:P$99=$A104,1))</f>
        <v>0</v>
      </c>
      <c r="Q104" s="3">
        <f t="array" ref="Q104">SUM(IF(Q$2:Q$99=$A104,1))</f>
        <v>1</v>
      </c>
      <c r="R104" s="3">
        <f t="array" ref="R104">SUM(IF(R$2:R$99=$A104,1))</f>
        <v>3</v>
      </c>
      <c r="S104" s="3">
        <f t="array" ref="S104">SUM(IF(S$2:S$99=$A104,1))</f>
        <v>1</v>
      </c>
      <c r="T104" s="3">
        <f t="array" ref="T104">SUM(IF(T$2:T$99=$A104,1))</f>
        <v>11</v>
      </c>
      <c r="U104" s="38" t="s">
        <v>15</v>
      </c>
    </row>
    <row r="105" ht="12.75" customHeight="1">
      <c r="A105" s="2" t="s">
        <v>16</v>
      </c>
      <c r="B105" s="3">
        <f t="array" ref="B105">SUM(IF(B$2:B$99=$A105,1))</f>
        <v>14</v>
      </c>
      <c r="C105" s="3">
        <f t="array" ref="C105">SUM(IF(C$2:C$99=$A105,1))</f>
        <v>2</v>
      </c>
      <c r="D105" s="3">
        <f t="array" ref="D105">SUM(IF(D$2:D$99=$A105,1))</f>
        <v>12</v>
      </c>
      <c r="E105" s="3">
        <f t="array" ref="E105">SUM(IF(E$2:E$99=$A105,1))</f>
        <v>3</v>
      </c>
      <c r="F105" s="3">
        <f t="array" ref="F105">SUM(IF(F$2:F$99=$A105,1))</f>
        <v>30</v>
      </c>
      <c r="G105" s="3">
        <f t="array" ref="G105">SUM(IF(G$2:G$99=$A105,1))</f>
        <v>5</v>
      </c>
      <c r="H105" s="3">
        <f t="array" ref="H105">SUM(IF(H$2:H$99=$A105,1))</f>
        <v>10</v>
      </c>
      <c r="I105" s="3">
        <f t="array" ref="I105">SUM(IF(I$2:I$99=$A105,1))</f>
        <v>9</v>
      </c>
      <c r="J105" s="3">
        <f t="array" ref="J105">SUM(IF(J$2:J$99=$A105,1))</f>
        <v>18</v>
      </c>
      <c r="K105" s="3">
        <f t="array" ref="K105">SUM(IF(K$2:K$99=$A105,1))</f>
        <v>12</v>
      </c>
      <c r="L105" s="3">
        <f t="array" ref="L105">SUM(IF(L$2:L$99=$A105,1))</f>
        <v>1</v>
      </c>
      <c r="M105" s="3">
        <f t="array" ref="M105">SUM(IF(M$2:M$99=$A105,1))</f>
        <v>1</v>
      </c>
      <c r="N105" s="3">
        <f t="array" ref="N105">SUM(IF(N$2:N$99=$A105,1))</f>
        <v>2</v>
      </c>
      <c r="O105" s="3">
        <f t="array" ref="O105">SUM(IF(O$2:O$99=$A105,1))</f>
        <v>0</v>
      </c>
      <c r="P105" s="3">
        <f t="array" ref="P105">SUM(IF(P$2:P$99=$A105,1))</f>
        <v>0</v>
      </c>
      <c r="Q105" s="3">
        <f t="array" ref="Q105">SUM(IF(Q$2:Q$99=$A105,1))</f>
        <v>1</v>
      </c>
      <c r="R105" s="3">
        <f t="array" ref="R105">SUM(IF(R$2:R$99=$A105,1))</f>
        <v>5</v>
      </c>
      <c r="S105" s="3">
        <f t="array" ref="S105">SUM(IF(S$2:S$99=$A105,1))</f>
        <v>1</v>
      </c>
      <c r="T105" s="3">
        <f t="array" ref="T105">SUM(IF(T$2:T$99=$A105,1))</f>
        <v>11</v>
      </c>
      <c r="U105" s="38" t="s">
        <v>16</v>
      </c>
    </row>
    <row r="106" ht="12.75" customHeight="1">
      <c r="A106" s="4" t="s">
        <v>129</v>
      </c>
      <c r="B106" s="4">
        <f t="shared" ref="B106:T106" si="2">B103+B104*2+B105*3</f>
        <v>75</v>
      </c>
      <c r="C106" s="4">
        <f t="shared" si="2"/>
        <v>14</v>
      </c>
      <c r="D106" s="4">
        <f t="shared" si="2"/>
        <v>58</v>
      </c>
      <c r="E106" s="4">
        <f t="shared" si="2"/>
        <v>11</v>
      </c>
      <c r="F106" s="4">
        <f t="shared" si="2"/>
        <v>128</v>
      </c>
      <c r="G106" s="4">
        <f t="shared" si="2"/>
        <v>34</v>
      </c>
      <c r="H106" s="4">
        <f t="shared" si="2"/>
        <v>48</v>
      </c>
      <c r="I106" s="4">
        <f t="shared" si="2"/>
        <v>48</v>
      </c>
      <c r="J106" s="4">
        <f t="shared" si="2"/>
        <v>87</v>
      </c>
      <c r="K106" s="4">
        <f t="shared" si="2"/>
        <v>48</v>
      </c>
      <c r="L106" s="4">
        <f t="shared" si="2"/>
        <v>5</v>
      </c>
      <c r="M106" s="4">
        <f t="shared" si="2"/>
        <v>5</v>
      </c>
      <c r="N106" s="4">
        <f t="shared" si="2"/>
        <v>21</v>
      </c>
      <c r="O106" s="4">
        <f t="shared" si="2"/>
        <v>1</v>
      </c>
      <c r="P106" s="4">
        <f t="shared" si="2"/>
        <v>0</v>
      </c>
      <c r="Q106" s="4">
        <f t="shared" si="2"/>
        <v>5</v>
      </c>
      <c r="R106" s="4">
        <f t="shared" si="2"/>
        <v>22</v>
      </c>
      <c r="S106" s="4">
        <f t="shared" si="2"/>
        <v>5</v>
      </c>
      <c r="T106" s="4">
        <f t="shared" si="2"/>
        <v>62</v>
      </c>
      <c r="U106" s="39" t="s">
        <v>129</v>
      </c>
    </row>
    <row r="107" ht="12.75" customHeight="1">
      <c r="A107" s="2" t="s">
        <v>130</v>
      </c>
      <c r="B107" s="11">
        <f t="shared" ref="B107:T107" si="3">IF(B100+B103+B104+B105&lt;&gt;0,B106/(B100+B103+B104+B105),0)</f>
        <v>2.205882353</v>
      </c>
      <c r="C107" s="11">
        <f t="shared" si="3"/>
        <v>0.8235294118</v>
      </c>
      <c r="D107" s="11">
        <f t="shared" si="3"/>
        <v>1.933333333</v>
      </c>
      <c r="E107" s="11">
        <f t="shared" si="3"/>
        <v>2.75</v>
      </c>
      <c r="F107" s="11">
        <f t="shared" si="3"/>
        <v>2.509803922</v>
      </c>
      <c r="G107" s="11">
        <f t="shared" si="3"/>
        <v>2</v>
      </c>
      <c r="H107" s="11">
        <f t="shared" si="3"/>
        <v>2</v>
      </c>
      <c r="I107" s="11">
        <f t="shared" si="3"/>
        <v>2.181818182</v>
      </c>
      <c r="J107" s="11">
        <f t="shared" si="3"/>
        <v>2.12195122</v>
      </c>
      <c r="K107" s="11">
        <f t="shared" si="3"/>
        <v>2.4</v>
      </c>
      <c r="L107" s="11">
        <f t="shared" si="3"/>
        <v>2.5</v>
      </c>
      <c r="M107" s="11">
        <f t="shared" si="3"/>
        <v>2.5</v>
      </c>
      <c r="N107" s="11">
        <f t="shared" si="3"/>
        <v>1.909090909</v>
      </c>
      <c r="O107" s="11">
        <f t="shared" si="3"/>
        <v>0.5</v>
      </c>
      <c r="P107" s="11">
        <f t="shared" si="3"/>
        <v>0</v>
      </c>
      <c r="Q107" s="11">
        <f t="shared" si="3"/>
        <v>2.5</v>
      </c>
      <c r="R107" s="11">
        <f t="shared" si="3"/>
        <v>2.444444444</v>
      </c>
      <c r="S107" s="11">
        <f t="shared" si="3"/>
        <v>2.5</v>
      </c>
      <c r="T107" s="11">
        <f t="shared" si="3"/>
        <v>1.9375</v>
      </c>
      <c r="U107" s="38" t="s">
        <v>130</v>
      </c>
    </row>
    <row r="108" ht="12.75" customHeight="1">
      <c r="A108" s="2" t="s">
        <v>363</v>
      </c>
      <c r="B108" s="2">
        <f t="shared" ref="B108:T108" si="4">B105+B104+B103</f>
        <v>32</v>
      </c>
      <c r="C108" s="2">
        <f t="shared" si="4"/>
        <v>7</v>
      </c>
      <c r="D108" s="2">
        <f t="shared" si="4"/>
        <v>27</v>
      </c>
      <c r="E108" s="2">
        <f t="shared" si="4"/>
        <v>4</v>
      </c>
      <c r="F108" s="2">
        <f t="shared" si="4"/>
        <v>51</v>
      </c>
      <c r="G108" s="2">
        <f t="shared" si="4"/>
        <v>17</v>
      </c>
      <c r="H108" s="2">
        <f t="shared" si="4"/>
        <v>21</v>
      </c>
      <c r="I108" s="2">
        <f t="shared" si="4"/>
        <v>20</v>
      </c>
      <c r="J108" s="2">
        <f t="shared" si="4"/>
        <v>39</v>
      </c>
      <c r="K108" s="2">
        <f t="shared" si="4"/>
        <v>19</v>
      </c>
      <c r="L108" s="2">
        <f t="shared" si="4"/>
        <v>2</v>
      </c>
      <c r="M108" s="2">
        <f t="shared" si="4"/>
        <v>2</v>
      </c>
      <c r="N108" s="2">
        <f t="shared" si="4"/>
        <v>10</v>
      </c>
      <c r="O108" s="2">
        <f t="shared" si="4"/>
        <v>1</v>
      </c>
      <c r="P108" s="2">
        <f t="shared" si="4"/>
        <v>0</v>
      </c>
      <c r="Q108" s="2">
        <f t="shared" si="4"/>
        <v>2</v>
      </c>
      <c r="R108" s="2">
        <f t="shared" si="4"/>
        <v>9</v>
      </c>
      <c r="S108" s="2">
        <f t="shared" si="4"/>
        <v>2</v>
      </c>
      <c r="T108" s="2">
        <f t="shared" si="4"/>
        <v>29</v>
      </c>
      <c r="U108" s="38" t="s">
        <v>363</v>
      </c>
    </row>
    <row r="109" ht="12.75" customHeight="1">
      <c r="A109" s="2" t="s">
        <v>131</v>
      </c>
      <c r="B109" s="3">
        <f t="shared" ref="B109:T109" si="5">B102+B101</f>
        <v>37</v>
      </c>
      <c r="C109" s="3">
        <f t="shared" si="5"/>
        <v>68</v>
      </c>
      <c r="D109" s="3">
        <f t="shared" si="5"/>
        <v>30</v>
      </c>
      <c r="E109" s="3">
        <f t="shared" si="5"/>
        <v>9</v>
      </c>
      <c r="F109" s="3">
        <f t="shared" si="5"/>
        <v>51</v>
      </c>
      <c r="G109" s="3">
        <f t="shared" si="5"/>
        <v>21</v>
      </c>
      <c r="H109" s="3">
        <f t="shared" si="5"/>
        <v>24</v>
      </c>
      <c r="I109" s="3">
        <f t="shared" si="5"/>
        <v>25</v>
      </c>
      <c r="J109" s="3">
        <f t="shared" si="5"/>
        <v>44</v>
      </c>
      <c r="K109" s="3">
        <f t="shared" si="5"/>
        <v>24</v>
      </c>
      <c r="L109" s="3">
        <f t="shared" si="5"/>
        <v>7</v>
      </c>
      <c r="M109" s="3">
        <f t="shared" si="5"/>
        <v>7</v>
      </c>
      <c r="N109" s="3">
        <f t="shared" si="5"/>
        <v>12</v>
      </c>
      <c r="O109" s="3">
        <f t="shared" si="5"/>
        <v>6</v>
      </c>
      <c r="P109" s="3">
        <f t="shared" si="5"/>
        <v>5</v>
      </c>
      <c r="Q109" s="3">
        <f t="shared" si="5"/>
        <v>7</v>
      </c>
      <c r="R109" s="3">
        <f t="shared" si="5"/>
        <v>14</v>
      </c>
      <c r="S109" s="3">
        <f t="shared" si="5"/>
        <v>7</v>
      </c>
      <c r="T109" s="3">
        <f t="shared" si="5"/>
        <v>33</v>
      </c>
      <c r="U109" s="38" t="s">
        <v>131</v>
      </c>
    </row>
    <row r="110" ht="15.75" customHeight="1">
      <c r="U110" s="38"/>
    </row>
    <row r="111" ht="15.75" customHeight="1">
      <c r="A111" s="2" t="s">
        <v>132</v>
      </c>
      <c r="B111" s="3">
        <f>B106+G106+J106+I106</f>
        <v>244</v>
      </c>
      <c r="D111" s="2" t="s">
        <v>544</v>
      </c>
      <c r="E111" s="12">
        <f>B106+G106</f>
        <v>109</v>
      </c>
      <c r="G111" s="2" t="s">
        <v>134</v>
      </c>
      <c r="H111" s="3">
        <f>I106+J106</f>
        <v>135</v>
      </c>
      <c r="J111" s="2" t="s">
        <v>135</v>
      </c>
      <c r="K111" s="3">
        <f>B102+G102+I102+J102</f>
        <v>114</v>
      </c>
      <c r="M111" s="2" t="s">
        <v>136</v>
      </c>
      <c r="N111" s="11">
        <f t="shared" ref="N111:N113" si="6">B111/K111</f>
        <v>2.140350877</v>
      </c>
      <c r="U111" s="38"/>
    </row>
    <row r="112" ht="15.75" customHeight="1">
      <c r="A112" s="2" t="s">
        <v>137</v>
      </c>
      <c r="B112" s="3">
        <f>C106+E106+H106+L106+M106</f>
        <v>83</v>
      </c>
      <c r="D112" s="2" t="s">
        <v>138</v>
      </c>
      <c r="E112" s="3">
        <f>M106+L106</f>
        <v>10</v>
      </c>
      <c r="G112" s="2" t="s">
        <v>139</v>
      </c>
      <c r="H112" s="3">
        <f>C106+E106+H106</f>
        <v>73</v>
      </c>
      <c r="J112" s="2" t="s">
        <v>135</v>
      </c>
      <c r="K112" s="3">
        <f>C102+E102+H102+L102+M102</f>
        <v>49</v>
      </c>
      <c r="M112" s="2" t="s">
        <v>136</v>
      </c>
      <c r="N112" s="11">
        <f t="shared" si="6"/>
        <v>1.693877551</v>
      </c>
      <c r="U112" s="38"/>
    </row>
    <row r="113" ht="15.75" customHeight="1">
      <c r="A113" s="2" t="s">
        <v>140</v>
      </c>
      <c r="B113" s="3">
        <f>D106+F106+K106+N106</f>
        <v>255</v>
      </c>
      <c r="D113" s="2" t="s">
        <v>141</v>
      </c>
      <c r="E113" s="3">
        <f>K106+N106</f>
        <v>69</v>
      </c>
      <c r="G113" s="2" t="s">
        <v>142</v>
      </c>
      <c r="H113" s="3">
        <f>D106+F106</f>
        <v>186</v>
      </c>
      <c r="J113" s="2" t="s">
        <v>135</v>
      </c>
      <c r="K113" s="3">
        <f>D102+F102+K102+N102</f>
        <v>112</v>
      </c>
      <c r="M113" s="2" t="s">
        <v>136</v>
      </c>
      <c r="N113" s="11">
        <f t="shared" si="6"/>
        <v>2.276785714</v>
      </c>
      <c r="U113" s="38"/>
    </row>
    <row r="114" ht="15.75" customHeight="1">
      <c r="U114" s="38"/>
    </row>
    <row r="115" ht="15.75" customHeight="1">
      <c r="A115" s="20"/>
      <c r="B115" s="3" t="str">
        <f t="shared" ref="B115:R115" si="7">B1</f>
        <v>David</v>
      </c>
      <c r="C115" s="3" t="str">
        <f t="shared" si="7"/>
        <v>Carlos</v>
      </c>
      <c r="D115" s="3" t="str">
        <f t="shared" si="7"/>
        <v>Laura</v>
      </c>
      <c r="E115" s="3" t="str">
        <f t="shared" si="7"/>
        <v>Jorge</v>
      </c>
      <c r="F115" s="3" t="str">
        <f t="shared" si="7"/>
        <v>Sergio</v>
      </c>
      <c r="G115" s="3" t="str">
        <f t="shared" si="7"/>
        <v>Poli</v>
      </c>
      <c r="H115" s="3" t="str">
        <f t="shared" si="7"/>
        <v>Nuria</v>
      </c>
      <c r="I115" s="3" t="str">
        <f t="shared" si="7"/>
        <v>Sara</v>
      </c>
      <c r="J115" s="3" t="str">
        <f t="shared" si="7"/>
        <v>Dario</v>
      </c>
      <c r="K115" s="3" t="str">
        <f t="shared" si="7"/>
        <v>Pedro</v>
      </c>
      <c r="L115" s="3" t="str">
        <f t="shared" si="7"/>
        <v>Inés</v>
      </c>
      <c r="M115" s="3" t="str">
        <f t="shared" si="7"/>
        <v>Chema</v>
      </c>
      <c r="N115" s="3" t="str">
        <f t="shared" si="7"/>
        <v>Maite</v>
      </c>
      <c r="O115" s="3" t="str">
        <f t="shared" si="7"/>
        <v>Anuncia</v>
      </c>
      <c r="P115" s="3" t="str">
        <f t="shared" si="7"/>
        <v>Roberto</v>
      </c>
      <c r="Q115" s="3" t="str">
        <f t="shared" si="7"/>
        <v>Hana</v>
      </c>
      <c r="R115" s="3" t="str">
        <f t="shared" si="7"/>
        <v>Antonio</v>
      </c>
      <c r="S115" s="3" t="s">
        <v>472</v>
      </c>
      <c r="T115" s="3" t="s">
        <v>515</v>
      </c>
      <c r="U115" s="40"/>
    </row>
    <row r="116" ht="15.75" customHeight="1">
      <c r="U116" s="38"/>
    </row>
    <row r="117" ht="15.75" customHeight="1">
      <c r="A117" s="21" t="s">
        <v>143</v>
      </c>
      <c r="B117" s="21">
        <f>H111+H112+H113</f>
        <v>394</v>
      </c>
      <c r="E117" s="21" t="s">
        <v>144</v>
      </c>
      <c r="F117" s="22">
        <f>E111+E112+E113</f>
        <v>188</v>
      </c>
      <c r="U117" s="38"/>
    </row>
    <row r="118" ht="15.75" customHeight="1">
      <c r="U118" s="38"/>
    </row>
    <row r="119" ht="15.75" customHeight="1">
      <c r="A119" s="5" t="s">
        <v>145</v>
      </c>
      <c r="B119" s="5" t="s">
        <v>4</v>
      </c>
      <c r="U119" s="38"/>
    </row>
    <row r="120" ht="15.75" customHeight="1">
      <c r="U120" s="38"/>
    </row>
    <row r="121" ht="12.75" customHeight="1">
      <c r="A121" s="2" t="s">
        <v>69</v>
      </c>
      <c r="O121" s="2" t="s">
        <v>310</v>
      </c>
      <c r="U121" s="38" t="s">
        <v>69</v>
      </c>
    </row>
    <row r="122" ht="12.75" customHeight="1">
      <c r="A122" s="2" t="s">
        <v>311</v>
      </c>
      <c r="B122" s="2">
        <f>'2022'!B122+B106</f>
        <v>1074.75</v>
      </c>
      <c r="C122" s="2">
        <f>'2022'!C122+C106</f>
        <v>459.5</v>
      </c>
      <c r="D122" s="2">
        <f>'2022'!D122+D106</f>
        <v>432</v>
      </c>
      <c r="E122" s="2">
        <f>'2022'!E122+E106</f>
        <v>560.25</v>
      </c>
      <c r="F122" s="2">
        <f>'2022'!F122+F106</f>
        <v>1270.25</v>
      </c>
      <c r="G122" s="2">
        <f>'2022'!G122+G106</f>
        <v>363</v>
      </c>
      <c r="H122" s="2">
        <f>'2022'!H122+H106</f>
        <v>482.25</v>
      </c>
      <c r="I122" s="2">
        <f>'2022'!I122+I106</f>
        <v>589.5</v>
      </c>
      <c r="J122" s="2">
        <f>'2022'!J122+J106</f>
        <v>555</v>
      </c>
      <c r="K122" s="2">
        <f>'2022'!K122+K106</f>
        <v>256</v>
      </c>
      <c r="L122" s="2">
        <f>'2022'!L122+L106</f>
        <v>89</v>
      </c>
      <c r="M122" s="2">
        <f>'2022'!M122+M106</f>
        <v>86</v>
      </c>
      <c r="N122" s="2">
        <f>'2022'!N122+N106</f>
        <v>33</v>
      </c>
      <c r="O122" s="2">
        <f>'2022'!O122+O106</f>
        <v>58.25</v>
      </c>
      <c r="P122" s="2" t="s">
        <v>376</v>
      </c>
      <c r="Q122" s="2">
        <f>'2022'!Q122+Q106</f>
        <v>48</v>
      </c>
      <c r="R122" s="2">
        <f>'2022'!R122+R106</f>
        <v>94</v>
      </c>
      <c r="S122" s="2">
        <f>'2022'!S122+S106</f>
        <v>13</v>
      </c>
      <c r="T122" s="2">
        <f>T106</f>
        <v>62</v>
      </c>
      <c r="U122" s="38" t="s">
        <v>311</v>
      </c>
    </row>
    <row r="123" ht="15.75" customHeight="1">
      <c r="U123" s="38"/>
    </row>
    <row r="124" ht="12.75" customHeight="1">
      <c r="A124" s="16" t="s">
        <v>85</v>
      </c>
      <c r="B124" s="16">
        <v>3.0</v>
      </c>
      <c r="C124" s="16">
        <v>2.0</v>
      </c>
      <c r="D124" s="16">
        <v>0.0</v>
      </c>
      <c r="E124" s="16">
        <v>1.0</v>
      </c>
      <c r="F124" s="16">
        <v>10.0</v>
      </c>
      <c r="G124" s="16">
        <v>0.0</v>
      </c>
      <c r="H124" s="16">
        <v>0.0</v>
      </c>
      <c r="I124" s="16">
        <v>0.0</v>
      </c>
      <c r="J124" s="16">
        <v>0.0</v>
      </c>
      <c r="K124" s="16">
        <v>0.0</v>
      </c>
      <c r="L124" s="16">
        <v>0.0</v>
      </c>
      <c r="M124" s="16">
        <v>0.0</v>
      </c>
      <c r="N124" s="16">
        <v>0.0</v>
      </c>
      <c r="O124" s="16">
        <v>0.0</v>
      </c>
      <c r="P124" s="2" t="s">
        <v>376</v>
      </c>
      <c r="Q124" s="3">
        <v>0.0</v>
      </c>
      <c r="R124" s="3">
        <v>0.0</v>
      </c>
      <c r="S124" s="16" t="s">
        <v>85</v>
      </c>
      <c r="U124" s="38"/>
    </row>
    <row r="125" ht="15.75" customHeight="1">
      <c r="U125" s="38"/>
    </row>
    <row r="126" ht="12.75" customHeight="1">
      <c r="A126" s="3" t="s">
        <v>365</v>
      </c>
      <c r="C126" s="3">
        <f>'2022'!C126+C109</f>
        <v>810</v>
      </c>
      <c r="U126" s="38"/>
    </row>
    <row r="127" ht="15.75" customHeight="1"/>
    <row r="128" ht="12.75" customHeight="1">
      <c r="A128" s="24">
        <v>2023.0</v>
      </c>
      <c r="B128" s="3" t="s">
        <v>0</v>
      </c>
      <c r="C128" s="3" t="s">
        <v>1</v>
      </c>
      <c r="D128" s="16" t="s">
        <v>2</v>
      </c>
      <c r="E128" s="3" t="s">
        <v>3</v>
      </c>
      <c r="F128" s="16" t="s">
        <v>4</v>
      </c>
      <c r="G128" s="16" t="s">
        <v>5</v>
      </c>
      <c r="H128" s="16" t="s">
        <v>6</v>
      </c>
      <c r="I128" s="16" t="s">
        <v>7</v>
      </c>
      <c r="J128" s="16" t="s">
        <v>8</v>
      </c>
      <c r="K128" s="16" t="s">
        <v>9</v>
      </c>
      <c r="L128" s="16" t="s">
        <v>10</v>
      </c>
      <c r="M128" s="3" t="s">
        <v>11</v>
      </c>
      <c r="N128" s="3" t="s">
        <v>12</v>
      </c>
      <c r="O128" s="16" t="s">
        <v>150</v>
      </c>
      <c r="P128" s="3" t="s">
        <v>151</v>
      </c>
      <c r="Q128" s="3" t="s">
        <v>345</v>
      </c>
      <c r="R128" s="3" t="s">
        <v>413</v>
      </c>
      <c r="S128" s="3" t="s">
        <v>472</v>
      </c>
      <c r="T128" s="3" t="s">
        <v>515</v>
      </c>
      <c r="U128" s="33">
        <f>A128</f>
        <v>2023</v>
      </c>
    </row>
    <row r="129" ht="15.75" customHeight="1"/>
    <row r="130" ht="15.75" customHeight="1"/>
    <row r="131" ht="15.75" customHeight="1"/>
    <row r="132" ht="15.75" customHeight="1">
      <c r="A132" s="2" t="s">
        <v>144</v>
      </c>
      <c r="B132" s="2" t="s">
        <v>307</v>
      </c>
    </row>
    <row r="133" ht="15.75" customHeight="1">
      <c r="A133" s="2" t="s">
        <v>308</v>
      </c>
      <c r="B133" s="2" t="s">
        <v>545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00:T107 N111:N113">
    <cfRule type="cellIs" dxfId="0" priority="1" stopIfTrue="1" operator="equal">
      <formula>"PLATA"</formula>
    </cfRule>
  </conditionalFormatting>
  <conditionalFormatting sqref="B100:T107 N111:N113">
    <cfRule type="cellIs" dxfId="1" priority="2" stopIfTrue="1" operator="equal">
      <formula>"ORO"</formula>
    </cfRule>
  </conditionalFormatting>
  <conditionalFormatting sqref="B100:T107 N111:N113">
    <cfRule type="cellIs" dxfId="2" priority="3" stopIfTrue="1" operator="equal">
      <formula>"BRONCE"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18" width="6.88"/>
    <col customWidth="1" min="19" max="20" width="8.0"/>
    <col customWidth="1" min="21" max="21" width="14.25"/>
    <col customWidth="1" min="22" max="26" width="14.38"/>
  </cols>
  <sheetData>
    <row r="1" ht="12.75" customHeight="1">
      <c r="A1" s="24">
        <v>2024.0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150</v>
      </c>
      <c r="P1" s="3" t="s">
        <v>151</v>
      </c>
      <c r="Q1" s="3" t="s">
        <v>345</v>
      </c>
      <c r="R1" s="3" t="s">
        <v>413</v>
      </c>
      <c r="S1" s="3" t="s">
        <v>472</v>
      </c>
      <c r="T1" s="3" t="s">
        <v>515</v>
      </c>
      <c r="U1" s="33">
        <f>A1</f>
        <v>2024</v>
      </c>
    </row>
    <row r="2">
      <c r="A2" s="2" t="s">
        <v>546</v>
      </c>
      <c r="B2" s="2" t="s">
        <v>17</v>
      </c>
      <c r="C2" s="2" t="s">
        <v>90</v>
      </c>
      <c r="D2" s="2" t="s">
        <v>89</v>
      </c>
      <c r="E2" s="2" t="s">
        <v>90</v>
      </c>
      <c r="F2" s="2" t="s">
        <v>16</v>
      </c>
      <c r="G2" s="2" t="s">
        <v>89</v>
      </c>
      <c r="H2" s="2" t="s">
        <v>89</v>
      </c>
      <c r="I2" s="2" t="s">
        <v>89</v>
      </c>
      <c r="J2" s="2" t="s">
        <v>15</v>
      </c>
      <c r="K2" s="2" t="s">
        <v>90</v>
      </c>
      <c r="L2" s="2" t="s">
        <v>90</v>
      </c>
      <c r="M2" s="2" t="s">
        <v>90</v>
      </c>
      <c r="N2" s="2" t="s">
        <v>90</v>
      </c>
      <c r="O2" s="2" t="s">
        <v>90</v>
      </c>
      <c r="P2" s="2" t="s">
        <v>90</v>
      </c>
      <c r="Q2" s="2" t="s">
        <v>90</v>
      </c>
      <c r="R2" s="2" t="s">
        <v>90</v>
      </c>
      <c r="S2" s="2" t="s">
        <v>90</v>
      </c>
      <c r="T2" s="2" t="s">
        <v>90</v>
      </c>
      <c r="U2" s="48">
        <v>45523.0</v>
      </c>
    </row>
    <row r="3">
      <c r="A3" s="2" t="s">
        <v>547</v>
      </c>
      <c r="B3" s="2" t="s">
        <v>15</v>
      </c>
      <c r="C3" s="2" t="s">
        <v>90</v>
      </c>
      <c r="D3" s="2" t="s">
        <v>89</v>
      </c>
      <c r="E3" s="2" t="s">
        <v>90</v>
      </c>
      <c r="F3" s="2" t="s">
        <v>16</v>
      </c>
      <c r="G3" s="2" t="s">
        <v>15</v>
      </c>
      <c r="H3" s="2" t="s">
        <v>89</v>
      </c>
      <c r="I3" s="2" t="s">
        <v>16</v>
      </c>
      <c r="J3" s="2" t="s">
        <v>16</v>
      </c>
      <c r="K3" s="2" t="s">
        <v>90</v>
      </c>
      <c r="L3" s="2" t="s">
        <v>90</v>
      </c>
      <c r="M3" s="2" t="s">
        <v>90</v>
      </c>
      <c r="N3" s="2" t="s">
        <v>90</v>
      </c>
      <c r="O3" s="2" t="s">
        <v>90</v>
      </c>
      <c r="P3" s="2" t="s">
        <v>90</v>
      </c>
      <c r="Q3" s="2" t="s">
        <v>90</v>
      </c>
      <c r="R3" s="2" t="s">
        <v>90</v>
      </c>
      <c r="S3" s="2" t="s">
        <v>90</v>
      </c>
      <c r="T3" s="2" t="s">
        <v>90</v>
      </c>
      <c r="U3" s="48">
        <v>45523.0</v>
      </c>
    </row>
    <row r="4">
      <c r="A4" s="2" t="s">
        <v>548</v>
      </c>
      <c r="B4" s="2" t="s">
        <v>16</v>
      </c>
      <c r="C4" s="2" t="s">
        <v>90</v>
      </c>
      <c r="D4" s="2" t="s">
        <v>16</v>
      </c>
      <c r="E4" s="2" t="s">
        <v>90</v>
      </c>
      <c r="F4" s="2" t="s">
        <v>16</v>
      </c>
      <c r="G4" s="2" t="s">
        <v>15</v>
      </c>
      <c r="H4" s="2" t="s">
        <v>15</v>
      </c>
      <c r="I4" s="2" t="s">
        <v>15</v>
      </c>
      <c r="J4" s="2" t="s">
        <v>15</v>
      </c>
      <c r="K4" s="2" t="s">
        <v>90</v>
      </c>
      <c r="L4" s="2" t="s">
        <v>90</v>
      </c>
      <c r="M4" s="2" t="s">
        <v>90</v>
      </c>
      <c r="N4" s="2" t="s">
        <v>90</v>
      </c>
      <c r="O4" s="2" t="s">
        <v>90</v>
      </c>
      <c r="P4" s="2" t="s">
        <v>90</v>
      </c>
      <c r="Q4" s="2" t="s">
        <v>90</v>
      </c>
      <c r="R4" s="2" t="s">
        <v>90</v>
      </c>
      <c r="S4" s="2" t="s">
        <v>90</v>
      </c>
      <c r="T4" s="2" t="s">
        <v>90</v>
      </c>
      <c r="U4" s="48">
        <v>45523.0</v>
      </c>
    </row>
    <row r="5">
      <c r="A5" s="2" t="s">
        <v>548</v>
      </c>
      <c r="B5" s="2" t="s">
        <v>16</v>
      </c>
      <c r="C5" s="2" t="s">
        <v>90</v>
      </c>
      <c r="D5" s="2" t="s">
        <v>16</v>
      </c>
      <c r="E5" s="2" t="s">
        <v>90</v>
      </c>
      <c r="F5" s="2" t="s">
        <v>16</v>
      </c>
      <c r="G5" s="2" t="s">
        <v>15</v>
      </c>
      <c r="H5" s="2" t="s">
        <v>15</v>
      </c>
      <c r="I5" s="2" t="s">
        <v>15</v>
      </c>
      <c r="J5" s="2" t="s">
        <v>15</v>
      </c>
      <c r="K5" s="2" t="s">
        <v>90</v>
      </c>
      <c r="L5" s="2" t="s">
        <v>90</v>
      </c>
      <c r="M5" s="2" t="s">
        <v>90</v>
      </c>
      <c r="N5" s="2" t="s">
        <v>90</v>
      </c>
      <c r="O5" s="2" t="s">
        <v>90</v>
      </c>
      <c r="P5" s="2" t="s">
        <v>90</v>
      </c>
      <c r="Q5" s="2" t="s">
        <v>90</v>
      </c>
      <c r="R5" s="2" t="s">
        <v>90</v>
      </c>
      <c r="S5" s="2" t="s">
        <v>90</v>
      </c>
      <c r="T5" s="2" t="s">
        <v>90</v>
      </c>
      <c r="U5" s="48">
        <v>45523.0</v>
      </c>
    </row>
    <row r="6">
      <c r="A6" s="2" t="s">
        <v>549</v>
      </c>
      <c r="B6" s="2" t="s">
        <v>16</v>
      </c>
      <c r="C6" s="2" t="s">
        <v>90</v>
      </c>
      <c r="D6" s="2" t="s">
        <v>15</v>
      </c>
      <c r="E6" s="2" t="s">
        <v>90</v>
      </c>
      <c r="F6" s="2" t="s">
        <v>15</v>
      </c>
      <c r="G6" s="2" t="s">
        <v>17</v>
      </c>
      <c r="H6" s="2" t="s">
        <v>15</v>
      </c>
      <c r="I6" s="2" t="s">
        <v>17</v>
      </c>
      <c r="J6" s="2" t="s">
        <v>16</v>
      </c>
      <c r="K6" s="2" t="s">
        <v>90</v>
      </c>
      <c r="L6" s="2" t="s">
        <v>90</v>
      </c>
      <c r="M6" s="2" t="s">
        <v>90</v>
      </c>
      <c r="N6" s="2" t="s">
        <v>90</v>
      </c>
      <c r="O6" s="2" t="s">
        <v>90</v>
      </c>
      <c r="P6" s="2" t="s">
        <v>90</v>
      </c>
      <c r="Q6" s="2" t="s">
        <v>90</v>
      </c>
      <c r="R6" s="2" t="s">
        <v>90</v>
      </c>
      <c r="S6" s="2" t="s">
        <v>90</v>
      </c>
      <c r="T6" s="2" t="s">
        <v>90</v>
      </c>
      <c r="U6" s="48">
        <v>45523.0</v>
      </c>
    </row>
    <row r="7">
      <c r="A7" s="2" t="s">
        <v>33</v>
      </c>
      <c r="B7" s="2" t="s">
        <v>89</v>
      </c>
      <c r="C7" s="2" t="s">
        <v>90</v>
      </c>
      <c r="D7" s="2" t="s">
        <v>89</v>
      </c>
      <c r="E7" s="2" t="s">
        <v>90</v>
      </c>
      <c r="F7" s="2" t="s">
        <v>16</v>
      </c>
      <c r="G7" s="2" t="s">
        <v>89</v>
      </c>
      <c r="H7" s="2" t="s">
        <v>17</v>
      </c>
      <c r="I7" s="2" t="s">
        <v>15</v>
      </c>
      <c r="J7" s="2" t="s">
        <v>89</v>
      </c>
      <c r="K7" s="2" t="s">
        <v>90</v>
      </c>
      <c r="L7" s="2" t="s">
        <v>90</v>
      </c>
      <c r="M7" s="2" t="s">
        <v>90</v>
      </c>
      <c r="N7" s="2" t="s">
        <v>90</v>
      </c>
      <c r="O7" s="2" t="s">
        <v>90</v>
      </c>
      <c r="P7" s="2" t="s">
        <v>90</v>
      </c>
      <c r="Q7" s="2" t="s">
        <v>90</v>
      </c>
      <c r="R7" s="2" t="s">
        <v>90</v>
      </c>
      <c r="S7" s="2" t="s">
        <v>90</v>
      </c>
      <c r="T7" s="2" t="s">
        <v>90</v>
      </c>
      <c r="U7" s="48">
        <v>45523.0</v>
      </c>
    </row>
    <row r="8">
      <c r="A8" s="47" t="s">
        <v>91</v>
      </c>
      <c r="B8" s="2" t="s">
        <v>16</v>
      </c>
      <c r="C8" s="2" t="s">
        <v>90</v>
      </c>
      <c r="D8" s="2" t="s">
        <v>17</v>
      </c>
      <c r="E8" s="2" t="s">
        <v>90</v>
      </c>
      <c r="F8" s="2" t="s">
        <v>17</v>
      </c>
      <c r="G8" s="2" t="s">
        <v>15</v>
      </c>
      <c r="H8" s="2" t="s">
        <v>89</v>
      </c>
      <c r="I8" s="2" t="s">
        <v>15</v>
      </c>
      <c r="J8" s="2" t="s">
        <v>17</v>
      </c>
      <c r="K8" s="2" t="s">
        <v>90</v>
      </c>
      <c r="L8" s="2" t="s">
        <v>90</v>
      </c>
      <c r="M8" s="2" t="s">
        <v>90</v>
      </c>
      <c r="N8" s="2" t="s">
        <v>90</v>
      </c>
      <c r="O8" s="2" t="s">
        <v>90</v>
      </c>
      <c r="P8" s="2" t="s">
        <v>90</v>
      </c>
      <c r="Q8" s="2" t="s">
        <v>90</v>
      </c>
      <c r="R8" s="2" t="s">
        <v>90</v>
      </c>
      <c r="S8" s="2" t="s">
        <v>90</v>
      </c>
      <c r="T8" s="2" t="s">
        <v>90</v>
      </c>
      <c r="U8" s="48">
        <v>45523.0</v>
      </c>
    </row>
    <row r="9">
      <c r="A9" s="2" t="s">
        <v>92</v>
      </c>
      <c r="B9" s="2" t="s">
        <v>90</v>
      </c>
      <c r="C9" s="2" t="s">
        <v>90</v>
      </c>
      <c r="D9" s="2" t="s">
        <v>89</v>
      </c>
      <c r="E9" s="2" t="s">
        <v>90</v>
      </c>
      <c r="F9" s="2" t="s">
        <v>16</v>
      </c>
      <c r="G9" s="2" t="s">
        <v>90</v>
      </c>
      <c r="H9" s="2" t="s">
        <v>15</v>
      </c>
      <c r="I9" s="2" t="s">
        <v>89</v>
      </c>
      <c r="J9" s="2" t="s">
        <v>17</v>
      </c>
      <c r="K9" s="2" t="s">
        <v>90</v>
      </c>
      <c r="L9" s="2" t="s">
        <v>90</v>
      </c>
      <c r="M9" s="2" t="s">
        <v>90</v>
      </c>
      <c r="N9" s="2" t="s">
        <v>90</v>
      </c>
      <c r="O9" s="2" t="s">
        <v>90</v>
      </c>
      <c r="P9" s="2" t="s">
        <v>90</v>
      </c>
      <c r="Q9" s="2" t="s">
        <v>90</v>
      </c>
      <c r="R9" s="2" t="s">
        <v>90</v>
      </c>
      <c r="S9" s="2" t="s">
        <v>90</v>
      </c>
      <c r="T9" s="2" t="s">
        <v>90</v>
      </c>
      <c r="U9" s="48">
        <v>45524.0</v>
      </c>
    </row>
    <row r="10">
      <c r="A10" s="2" t="s">
        <v>92</v>
      </c>
      <c r="B10" s="2" t="s">
        <v>90</v>
      </c>
      <c r="C10" s="2" t="s">
        <v>90</v>
      </c>
      <c r="D10" s="2" t="s">
        <v>15</v>
      </c>
      <c r="E10" s="2" t="s">
        <v>90</v>
      </c>
      <c r="F10" s="2" t="s">
        <v>16</v>
      </c>
      <c r="G10" s="2" t="s">
        <v>90</v>
      </c>
      <c r="H10" s="2" t="s">
        <v>17</v>
      </c>
      <c r="I10" s="2" t="s">
        <v>89</v>
      </c>
      <c r="J10" s="2" t="s">
        <v>89</v>
      </c>
      <c r="K10" s="2" t="s">
        <v>90</v>
      </c>
      <c r="L10" s="2" t="s">
        <v>90</v>
      </c>
      <c r="M10" s="2" t="s">
        <v>90</v>
      </c>
      <c r="N10" s="2" t="s">
        <v>90</v>
      </c>
      <c r="O10" s="2" t="s">
        <v>90</v>
      </c>
      <c r="P10" s="2" t="s">
        <v>90</v>
      </c>
      <c r="Q10" s="2" t="s">
        <v>90</v>
      </c>
      <c r="R10" s="2" t="s">
        <v>90</v>
      </c>
      <c r="S10" s="2" t="s">
        <v>90</v>
      </c>
      <c r="T10" s="2" t="s">
        <v>90</v>
      </c>
      <c r="U10" s="48">
        <v>45524.0</v>
      </c>
    </row>
    <row r="11">
      <c r="A11" s="2" t="s">
        <v>92</v>
      </c>
      <c r="B11" s="2" t="s">
        <v>90</v>
      </c>
      <c r="C11" s="2" t="s">
        <v>90</v>
      </c>
      <c r="D11" s="2" t="s">
        <v>89</v>
      </c>
      <c r="E11" s="2" t="s">
        <v>90</v>
      </c>
      <c r="F11" s="2" t="s">
        <v>16</v>
      </c>
      <c r="G11" s="2" t="s">
        <v>90</v>
      </c>
      <c r="H11" s="2" t="s">
        <v>15</v>
      </c>
      <c r="I11" s="2" t="s">
        <v>89</v>
      </c>
      <c r="J11" s="2" t="s">
        <v>17</v>
      </c>
      <c r="K11" s="2" t="s">
        <v>90</v>
      </c>
      <c r="L11" s="2" t="s">
        <v>90</v>
      </c>
      <c r="M11" s="2" t="s">
        <v>90</v>
      </c>
      <c r="N11" s="2" t="s">
        <v>90</v>
      </c>
      <c r="O11" s="2" t="s">
        <v>90</v>
      </c>
      <c r="P11" s="2" t="s">
        <v>90</v>
      </c>
      <c r="Q11" s="2" t="s">
        <v>90</v>
      </c>
      <c r="R11" s="2" t="s">
        <v>90</v>
      </c>
      <c r="S11" s="2" t="s">
        <v>90</v>
      </c>
      <c r="T11" s="2" t="s">
        <v>90</v>
      </c>
      <c r="U11" s="48">
        <v>45524.0</v>
      </c>
    </row>
    <row r="12">
      <c r="A12" s="2" t="s">
        <v>313</v>
      </c>
      <c r="B12" s="2" t="s">
        <v>17</v>
      </c>
      <c r="C12" s="2" t="s">
        <v>90</v>
      </c>
      <c r="D12" s="2" t="s">
        <v>16</v>
      </c>
      <c r="E12" s="2" t="s">
        <v>90</v>
      </c>
      <c r="F12" s="2" t="s">
        <v>16</v>
      </c>
      <c r="G12" s="2" t="s">
        <v>17</v>
      </c>
      <c r="H12" s="2" t="s">
        <v>17</v>
      </c>
      <c r="I12" s="2" t="s">
        <v>15</v>
      </c>
      <c r="J12" s="2" t="s">
        <v>15</v>
      </c>
      <c r="K12" s="2" t="s">
        <v>90</v>
      </c>
      <c r="L12" s="2" t="s">
        <v>90</v>
      </c>
      <c r="M12" s="2" t="s">
        <v>90</v>
      </c>
      <c r="N12" s="2" t="s">
        <v>90</v>
      </c>
      <c r="O12" s="2" t="s">
        <v>90</v>
      </c>
      <c r="P12" s="2" t="s">
        <v>90</v>
      </c>
      <c r="Q12" s="2" t="s">
        <v>90</v>
      </c>
      <c r="R12" s="2" t="s">
        <v>90</v>
      </c>
      <c r="S12" s="2" t="s">
        <v>90</v>
      </c>
      <c r="T12" s="2" t="s">
        <v>90</v>
      </c>
      <c r="U12" s="48">
        <v>45524.0</v>
      </c>
    </row>
    <row r="13">
      <c r="A13" s="2" t="s">
        <v>550</v>
      </c>
      <c r="B13" s="2" t="s">
        <v>16</v>
      </c>
      <c r="C13" s="2" t="s">
        <v>90</v>
      </c>
      <c r="D13" s="2" t="s">
        <v>90</v>
      </c>
      <c r="E13" s="2" t="s">
        <v>90</v>
      </c>
      <c r="F13" s="2" t="s">
        <v>16</v>
      </c>
      <c r="G13" s="2" t="s">
        <v>90</v>
      </c>
      <c r="H13" s="2" t="s">
        <v>90</v>
      </c>
      <c r="I13" s="2" t="s">
        <v>90</v>
      </c>
      <c r="J13" s="2" t="s">
        <v>16</v>
      </c>
      <c r="K13" s="2" t="s">
        <v>90</v>
      </c>
      <c r="L13" s="2" t="s">
        <v>90</v>
      </c>
      <c r="M13" s="2" t="s">
        <v>90</v>
      </c>
      <c r="N13" s="2" t="s">
        <v>90</v>
      </c>
      <c r="O13" s="2" t="s">
        <v>90</v>
      </c>
      <c r="P13" s="2" t="s">
        <v>90</v>
      </c>
      <c r="Q13" s="2" t="s">
        <v>90</v>
      </c>
      <c r="R13" s="2" t="s">
        <v>90</v>
      </c>
      <c r="S13" s="2" t="s">
        <v>90</v>
      </c>
      <c r="T13" s="2" t="s">
        <v>90</v>
      </c>
      <c r="U13" s="48">
        <v>45524.0</v>
      </c>
    </row>
    <row r="14">
      <c r="A14" s="2" t="s">
        <v>379</v>
      </c>
      <c r="B14" s="2" t="s">
        <v>16</v>
      </c>
      <c r="C14" s="2" t="s">
        <v>90</v>
      </c>
      <c r="D14" s="2" t="s">
        <v>15</v>
      </c>
      <c r="E14" s="2" t="s">
        <v>90</v>
      </c>
      <c r="F14" s="2" t="s">
        <v>16</v>
      </c>
      <c r="G14" s="2" t="s">
        <v>15</v>
      </c>
      <c r="H14" s="2" t="s">
        <v>15</v>
      </c>
      <c r="I14" s="2" t="s">
        <v>15</v>
      </c>
      <c r="J14" s="2" t="s">
        <v>16</v>
      </c>
      <c r="K14" s="2" t="s">
        <v>90</v>
      </c>
      <c r="L14" s="2" t="s">
        <v>90</v>
      </c>
      <c r="M14" s="2" t="s">
        <v>90</v>
      </c>
      <c r="N14" s="2" t="s">
        <v>90</v>
      </c>
      <c r="O14" s="2" t="s">
        <v>90</v>
      </c>
      <c r="P14" s="2" t="s">
        <v>90</v>
      </c>
      <c r="Q14" s="2" t="s">
        <v>90</v>
      </c>
      <c r="R14" s="2" t="s">
        <v>90</v>
      </c>
      <c r="S14" s="2" t="s">
        <v>90</v>
      </c>
      <c r="T14" s="2" t="s">
        <v>90</v>
      </c>
      <c r="U14" s="48">
        <v>45524.0</v>
      </c>
    </row>
    <row r="15">
      <c r="A15" s="2" t="s">
        <v>551</v>
      </c>
      <c r="B15" s="2" t="s">
        <v>15</v>
      </c>
      <c r="C15" s="2" t="s">
        <v>90</v>
      </c>
      <c r="D15" s="2" t="s">
        <v>15</v>
      </c>
      <c r="E15" s="2" t="s">
        <v>90</v>
      </c>
      <c r="F15" s="2" t="s">
        <v>15</v>
      </c>
      <c r="G15" s="2" t="s">
        <v>16</v>
      </c>
      <c r="H15" s="2" t="s">
        <v>15</v>
      </c>
      <c r="I15" s="2" t="s">
        <v>16</v>
      </c>
      <c r="J15" s="2" t="s">
        <v>16</v>
      </c>
      <c r="K15" s="2" t="s">
        <v>90</v>
      </c>
      <c r="L15" s="2" t="s">
        <v>90</v>
      </c>
      <c r="M15" s="2" t="s">
        <v>90</v>
      </c>
      <c r="N15" s="2" t="s">
        <v>90</v>
      </c>
      <c r="O15" s="2" t="s">
        <v>90</v>
      </c>
      <c r="P15" s="2" t="s">
        <v>90</v>
      </c>
      <c r="Q15" s="2" t="s">
        <v>90</v>
      </c>
      <c r="R15" s="2" t="s">
        <v>90</v>
      </c>
      <c r="S15" s="2" t="s">
        <v>90</v>
      </c>
      <c r="T15" s="2" t="s">
        <v>90</v>
      </c>
      <c r="U15" s="48">
        <v>45524.0</v>
      </c>
    </row>
    <row r="16">
      <c r="A16" s="2" t="s">
        <v>552</v>
      </c>
      <c r="B16" s="2" t="s">
        <v>16</v>
      </c>
      <c r="C16" s="2" t="s">
        <v>90</v>
      </c>
      <c r="D16" s="2" t="s">
        <v>89</v>
      </c>
      <c r="E16" s="2" t="s">
        <v>90</v>
      </c>
      <c r="F16" s="2" t="s">
        <v>17</v>
      </c>
      <c r="G16" s="2" t="s">
        <v>90</v>
      </c>
      <c r="H16" s="2" t="s">
        <v>89</v>
      </c>
      <c r="I16" s="2" t="s">
        <v>15</v>
      </c>
      <c r="J16" s="2" t="s">
        <v>89</v>
      </c>
      <c r="K16" s="2" t="s">
        <v>90</v>
      </c>
      <c r="L16" s="2" t="s">
        <v>90</v>
      </c>
      <c r="M16" s="2" t="s">
        <v>90</v>
      </c>
      <c r="N16" s="2" t="s">
        <v>90</v>
      </c>
      <c r="O16" s="2" t="s">
        <v>90</v>
      </c>
      <c r="P16" s="2" t="s">
        <v>90</v>
      </c>
      <c r="Q16" s="2" t="s">
        <v>90</v>
      </c>
      <c r="R16" s="2" t="s">
        <v>90</v>
      </c>
      <c r="S16" s="2" t="s">
        <v>90</v>
      </c>
      <c r="T16" s="2" t="s">
        <v>90</v>
      </c>
      <c r="U16" s="48">
        <v>45525.0</v>
      </c>
    </row>
    <row r="17">
      <c r="A17" s="2" t="s">
        <v>553</v>
      </c>
      <c r="B17" s="2" t="s">
        <v>90</v>
      </c>
      <c r="C17" s="2" t="s">
        <v>90</v>
      </c>
      <c r="D17" s="2" t="s">
        <v>16</v>
      </c>
      <c r="E17" s="2" t="s">
        <v>90</v>
      </c>
      <c r="F17" s="2" t="s">
        <v>89</v>
      </c>
      <c r="G17" s="2" t="s">
        <v>90</v>
      </c>
      <c r="H17" s="2" t="s">
        <v>16</v>
      </c>
      <c r="I17" s="2" t="s">
        <v>89</v>
      </c>
      <c r="J17" s="2" t="s">
        <v>16</v>
      </c>
      <c r="K17" s="2" t="s">
        <v>90</v>
      </c>
      <c r="L17" s="2" t="s">
        <v>90</v>
      </c>
      <c r="M17" s="2" t="s">
        <v>90</v>
      </c>
      <c r="N17" s="2" t="s">
        <v>90</v>
      </c>
      <c r="O17" s="2" t="s">
        <v>90</v>
      </c>
      <c r="P17" s="2" t="s">
        <v>90</v>
      </c>
      <c r="Q17" s="2" t="s">
        <v>90</v>
      </c>
      <c r="R17" s="2" t="s">
        <v>90</v>
      </c>
      <c r="S17" s="2" t="s">
        <v>90</v>
      </c>
      <c r="T17" s="2" t="s">
        <v>90</v>
      </c>
      <c r="U17" s="48">
        <v>45525.0</v>
      </c>
    </row>
    <row r="18">
      <c r="A18" s="2" t="s">
        <v>267</v>
      </c>
      <c r="B18" s="2" t="s">
        <v>16</v>
      </c>
      <c r="C18" s="2" t="s">
        <v>90</v>
      </c>
      <c r="D18" s="2" t="s">
        <v>16</v>
      </c>
      <c r="E18" s="2" t="s">
        <v>90</v>
      </c>
      <c r="F18" s="2" t="s">
        <v>16</v>
      </c>
      <c r="G18" s="2" t="s">
        <v>15</v>
      </c>
      <c r="H18" s="2" t="s">
        <v>90</v>
      </c>
      <c r="I18" s="2" t="s">
        <v>15</v>
      </c>
      <c r="J18" s="2" t="s">
        <v>15</v>
      </c>
      <c r="K18" s="2" t="s">
        <v>90</v>
      </c>
      <c r="L18" s="2" t="s">
        <v>90</v>
      </c>
      <c r="M18" s="2" t="s">
        <v>90</v>
      </c>
      <c r="N18" s="2" t="s">
        <v>90</v>
      </c>
      <c r="O18" s="2" t="s">
        <v>90</v>
      </c>
      <c r="P18" s="2" t="s">
        <v>90</v>
      </c>
      <c r="Q18" s="2" t="s">
        <v>90</v>
      </c>
      <c r="R18" s="2" t="s">
        <v>90</v>
      </c>
      <c r="S18" s="2" t="s">
        <v>90</v>
      </c>
      <c r="T18" s="2" t="s">
        <v>90</v>
      </c>
      <c r="U18" s="48">
        <v>45525.0</v>
      </c>
    </row>
    <row r="19">
      <c r="A19" s="2">
        <v>-1.0</v>
      </c>
      <c r="B19" s="2" t="s">
        <v>16</v>
      </c>
      <c r="C19" s="2" t="s">
        <v>90</v>
      </c>
      <c r="D19" s="2" t="s">
        <v>89</v>
      </c>
      <c r="E19" s="2" t="s">
        <v>90</v>
      </c>
      <c r="F19" s="2" t="s">
        <v>15</v>
      </c>
      <c r="G19" s="2" t="s">
        <v>90</v>
      </c>
      <c r="H19" s="2" t="s">
        <v>89</v>
      </c>
      <c r="I19" s="2" t="s">
        <v>17</v>
      </c>
      <c r="J19" s="2" t="s">
        <v>89</v>
      </c>
      <c r="K19" s="2" t="s">
        <v>90</v>
      </c>
      <c r="L19" s="2" t="s">
        <v>90</v>
      </c>
      <c r="M19" s="2" t="s">
        <v>90</v>
      </c>
      <c r="N19" s="2" t="s">
        <v>90</v>
      </c>
      <c r="O19" s="2" t="s">
        <v>90</v>
      </c>
      <c r="P19" s="2" t="s">
        <v>90</v>
      </c>
      <c r="Q19" s="2" t="s">
        <v>90</v>
      </c>
      <c r="R19" s="2" t="s">
        <v>90</v>
      </c>
      <c r="S19" s="2" t="s">
        <v>90</v>
      </c>
      <c r="T19" s="2" t="s">
        <v>90</v>
      </c>
      <c r="U19" s="48">
        <v>45525.0</v>
      </c>
    </row>
    <row r="20">
      <c r="A20" s="2" t="s">
        <v>554</v>
      </c>
      <c r="B20" s="2" t="s">
        <v>16</v>
      </c>
      <c r="C20" s="2" t="s">
        <v>90</v>
      </c>
      <c r="D20" s="2" t="s">
        <v>90</v>
      </c>
      <c r="E20" s="2" t="s">
        <v>90</v>
      </c>
      <c r="F20" s="2" t="s">
        <v>15</v>
      </c>
      <c r="G20" s="2" t="s">
        <v>90</v>
      </c>
      <c r="H20" s="2" t="s">
        <v>90</v>
      </c>
      <c r="I20" s="2" t="s">
        <v>90</v>
      </c>
      <c r="J20" s="2" t="s">
        <v>17</v>
      </c>
      <c r="K20" s="2" t="s">
        <v>90</v>
      </c>
      <c r="L20" s="2" t="s">
        <v>90</v>
      </c>
      <c r="M20" s="2" t="s">
        <v>90</v>
      </c>
      <c r="N20" s="2" t="s">
        <v>90</v>
      </c>
      <c r="O20" s="2" t="s">
        <v>90</v>
      </c>
      <c r="P20" s="2" t="s">
        <v>90</v>
      </c>
      <c r="Q20" s="2" t="s">
        <v>90</v>
      </c>
      <c r="R20" s="2" t="s">
        <v>90</v>
      </c>
      <c r="S20" s="2" t="s">
        <v>90</v>
      </c>
      <c r="T20" s="2" t="s">
        <v>90</v>
      </c>
      <c r="U20" s="48">
        <v>45525.0</v>
      </c>
    </row>
    <row r="21" ht="15.75" customHeight="1">
      <c r="A21" s="2" t="s">
        <v>196</v>
      </c>
      <c r="B21" s="2" t="s">
        <v>17</v>
      </c>
      <c r="C21" s="2" t="s">
        <v>90</v>
      </c>
      <c r="D21" s="2" t="s">
        <v>89</v>
      </c>
      <c r="E21" s="2" t="s">
        <v>90</v>
      </c>
      <c r="F21" s="2" t="s">
        <v>16</v>
      </c>
      <c r="G21" s="2" t="s">
        <v>90</v>
      </c>
      <c r="H21" s="2" t="s">
        <v>90</v>
      </c>
      <c r="I21" s="2" t="s">
        <v>90</v>
      </c>
      <c r="J21" s="2" t="s">
        <v>15</v>
      </c>
      <c r="K21" s="2" t="s">
        <v>90</v>
      </c>
      <c r="L21" s="2" t="s">
        <v>90</v>
      </c>
      <c r="M21" s="2" t="s">
        <v>90</v>
      </c>
      <c r="N21" s="2" t="s">
        <v>90</v>
      </c>
      <c r="O21" s="2" t="s">
        <v>90</v>
      </c>
      <c r="P21" s="2" t="s">
        <v>90</v>
      </c>
      <c r="Q21" s="2" t="s">
        <v>90</v>
      </c>
      <c r="R21" s="2" t="s">
        <v>90</v>
      </c>
      <c r="S21" s="2" t="s">
        <v>90</v>
      </c>
      <c r="T21" s="2" t="s">
        <v>90</v>
      </c>
      <c r="U21" s="48">
        <v>45525.0</v>
      </c>
    </row>
    <row r="22" ht="15.75" customHeight="1">
      <c r="A22" s="2" t="s">
        <v>535</v>
      </c>
      <c r="B22" s="2" t="s">
        <v>90</v>
      </c>
      <c r="C22" s="2" t="s">
        <v>90</v>
      </c>
      <c r="D22" s="2" t="s">
        <v>89</v>
      </c>
      <c r="E22" s="2" t="s">
        <v>90</v>
      </c>
      <c r="F22" s="2" t="s">
        <v>15</v>
      </c>
      <c r="G22" s="2" t="s">
        <v>90</v>
      </c>
      <c r="H22" s="2" t="s">
        <v>16</v>
      </c>
      <c r="I22" s="2" t="s">
        <v>16</v>
      </c>
      <c r="J22" s="2" t="s">
        <v>15</v>
      </c>
      <c r="K22" s="2" t="s">
        <v>90</v>
      </c>
      <c r="L22" s="2" t="s">
        <v>90</v>
      </c>
      <c r="M22" s="2" t="s">
        <v>90</v>
      </c>
      <c r="N22" s="2" t="s">
        <v>90</v>
      </c>
      <c r="O22" s="2" t="s">
        <v>90</v>
      </c>
      <c r="P22" s="2" t="s">
        <v>90</v>
      </c>
      <c r="Q22" s="2" t="s">
        <v>90</v>
      </c>
      <c r="R22" s="2" t="s">
        <v>90</v>
      </c>
      <c r="S22" s="2" t="s">
        <v>90</v>
      </c>
      <c r="T22" s="2" t="s">
        <v>90</v>
      </c>
      <c r="U22" s="48">
        <v>45525.0</v>
      </c>
    </row>
    <row r="23" ht="15.75" customHeight="1">
      <c r="A23" s="2" t="s">
        <v>92</v>
      </c>
      <c r="B23" s="2" t="s">
        <v>90</v>
      </c>
      <c r="C23" s="2" t="s">
        <v>90</v>
      </c>
      <c r="D23" s="2" t="s">
        <v>16</v>
      </c>
      <c r="E23" s="2" t="s">
        <v>90</v>
      </c>
      <c r="F23" s="2" t="s">
        <v>16</v>
      </c>
      <c r="G23" s="2" t="s">
        <v>90</v>
      </c>
      <c r="H23" s="2" t="s">
        <v>15</v>
      </c>
      <c r="I23" s="2" t="s">
        <v>89</v>
      </c>
      <c r="J23" s="2" t="s">
        <v>15</v>
      </c>
      <c r="K23" s="2" t="s">
        <v>90</v>
      </c>
      <c r="L23" s="2" t="s">
        <v>90</v>
      </c>
      <c r="M23" s="2" t="s">
        <v>90</v>
      </c>
      <c r="N23" s="2" t="s">
        <v>90</v>
      </c>
      <c r="O23" s="2" t="s">
        <v>90</v>
      </c>
      <c r="P23" s="2" t="s">
        <v>90</v>
      </c>
      <c r="Q23" s="2" t="s">
        <v>90</v>
      </c>
      <c r="R23" s="2" t="s">
        <v>90</v>
      </c>
      <c r="S23" s="2" t="s">
        <v>90</v>
      </c>
      <c r="T23" s="2" t="s">
        <v>90</v>
      </c>
      <c r="U23" s="48">
        <v>45525.0</v>
      </c>
    </row>
    <row r="24" ht="15.75" customHeight="1">
      <c r="A24" s="2" t="s">
        <v>23</v>
      </c>
      <c r="B24" s="2" t="s">
        <v>16</v>
      </c>
      <c r="C24" s="2" t="s">
        <v>90</v>
      </c>
      <c r="D24" s="2" t="s">
        <v>89</v>
      </c>
      <c r="E24" s="2" t="s">
        <v>90</v>
      </c>
      <c r="F24" s="2" t="s">
        <v>89</v>
      </c>
      <c r="G24" s="2" t="s">
        <v>17</v>
      </c>
      <c r="H24" s="2" t="s">
        <v>89</v>
      </c>
      <c r="I24" s="2" t="s">
        <v>15</v>
      </c>
      <c r="J24" s="2" t="s">
        <v>89</v>
      </c>
      <c r="K24" s="2" t="s">
        <v>90</v>
      </c>
      <c r="L24" s="2" t="s">
        <v>90</v>
      </c>
      <c r="M24" s="2" t="s">
        <v>90</v>
      </c>
      <c r="N24" s="2" t="s">
        <v>90</v>
      </c>
      <c r="O24" s="2" t="s">
        <v>90</v>
      </c>
      <c r="P24" s="2" t="s">
        <v>90</v>
      </c>
      <c r="Q24" s="2" t="s">
        <v>90</v>
      </c>
      <c r="R24" s="2" t="s">
        <v>90</v>
      </c>
      <c r="S24" s="2" t="s">
        <v>90</v>
      </c>
      <c r="T24" s="2" t="s">
        <v>90</v>
      </c>
      <c r="U24" s="48">
        <v>45525.0</v>
      </c>
    </row>
    <row r="25" ht="15.75" customHeight="1">
      <c r="A25" s="2" t="s">
        <v>555</v>
      </c>
      <c r="B25" s="2" t="s">
        <v>16</v>
      </c>
      <c r="C25" s="2" t="s">
        <v>90</v>
      </c>
      <c r="D25" s="2" t="s">
        <v>16</v>
      </c>
      <c r="E25" s="2" t="s">
        <v>90</v>
      </c>
      <c r="F25" s="2" t="s">
        <v>15</v>
      </c>
      <c r="G25" s="2" t="s">
        <v>15</v>
      </c>
      <c r="H25" s="2" t="s">
        <v>16</v>
      </c>
      <c r="I25" s="2" t="s">
        <v>89</v>
      </c>
      <c r="J25" s="2" t="s">
        <v>89</v>
      </c>
      <c r="K25" s="2" t="s">
        <v>90</v>
      </c>
      <c r="L25" s="2" t="s">
        <v>90</v>
      </c>
      <c r="M25" s="2" t="s">
        <v>90</v>
      </c>
      <c r="N25" s="2" t="s">
        <v>90</v>
      </c>
      <c r="O25" s="2" t="s">
        <v>90</v>
      </c>
      <c r="P25" s="2" t="s">
        <v>90</v>
      </c>
      <c r="Q25" s="2" t="s">
        <v>90</v>
      </c>
      <c r="R25" s="2" t="s">
        <v>90</v>
      </c>
      <c r="S25" s="2" t="s">
        <v>90</v>
      </c>
      <c r="T25" s="2" t="s">
        <v>90</v>
      </c>
      <c r="U25" s="48">
        <v>45525.0</v>
      </c>
    </row>
    <row r="26" ht="15.75" customHeight="1">
      <c r="A26" s="2" t="s">
        <v>23</v>
      </c>
      <c r="B26" s="2" t="s">
        <v>16</v>
      </c>
      <c r="C26" s="2" t="s">
        <v>90</v>
      </c>
      <c r="D26" s="2" t="s">
        <v>89</v>
      </c>
      <c r="E26" s="2" t="s">
        <v>90</v>
      </c>
      <c r="F26" s="2" t="s">
        <v>89</v>
      </c>
      <c r="G26" s="2" t="s">
        <v>89</v>
      </c>
      <c r="H26" s="2" t="s">
        <v>89</v>
      </c>
      <c r="I26" s="2" t="s">
        <v>17</v>
      </c>
      <c r="J26" s="2" t="s">
        <v>15</v>
      </c>
      <c r="K26" s="2" t="s">
        <v>90</v>
      </c>
      <c r="L26" s="2" t="s">
        <v>90</v>
      </c>
      <c r="M26" s="2" t="s">
        <v>90</v>
      </c>
      <c r="N26" s="2" t="s">
        <v>90</v>
      </c>
      <c r="O26" s="2" t="s">
        <v>90</v>
      </c>
      <c r="P26" s="2" t="s">
        <v>90</v>
      </c>
      <c r="Q26" s="2" t="s">
        <v>90</v>
      </c>
      <c r="R26" s="2" t="s">
        <v>90</v>
      </c>
      <c r="S26" s="2" t="s">
        <v>90</v>
      </c>
      <c r="T26" s="2" t="s">
        <v>90</v>
      </c>
      <c r="U26" s="48">
        <v>45525.0</v>
      </c>
    </row>
    <row r="27" ht="15.75" customHeight="1">
      <c r="A27" s="2" t="s">
        <v>29</v>
      </c>
      <c r="B27" s="2" t="s">
        <v>16</v>
      </c>
      <c r="C27" s="2" t="s">
        <v>90</v>
      </c>
      <c r="D27" s="2" t="s">
        <v>89</v>
      </c>
      <c r="E27" s="2" t="s">
        <v>90</v>
      </c>
      <c r="F27" s="2" t="s">
        <v>15</v>
      </c>
      <c r="G27" s="2" t="s">
        <v>89</v>
      </c>
      <c r="H27" s="2" t="s">
        <v>89</v>
      </c>
      <c r="I27" s="2" t="s">
        <v>15</v>
      </c>
      <c r="J27" s="2" t="s">
        <v>16</v>
      </c>
      <c r="K27" s="2" t="s">
        <v>90</v>
      </c>
      <c r="L27" s="2" t="s">
        <v>90</v>
      </c>
      <c r="M27" s="2" t="s">
        <v>90</v>
      </c>
      <c r="N27" s="2" t="s">
        <v>90</v>
      </c>
      <c r="O27" s="2" t="s">
        <v>90</v>
      </c>
      <c r="P27" s="2" t="s">
        <v>90</v>
      </c>
      <c r="Q27" s="2" t="s">
        <v>90</v>
      </c>
      <c r="R27" s="2" t="s">
        <v>90</v>
      </c>
      <c r="S27" s="2" t="s">
        <v>90</v>
      </c>
      <c r="T27" s="2" t="s">
        <v>90</v>
      </c>
      <c r="U27" s="48">
        <v>45525.0</v>
      </c>
    </row>
    <row r="28" ht="15.75" customHeight="1">
      <c r="A28" s="2" t="s">
        <v>92</v>
      </c>
      <c r="B28" s="2" t="s">
        <v>89</v>
      </c>
      <c r="C28" s="2" t="s">
        <v>90</v>
      </c>
      <c r="D28" s="2" t="s">
        <v>89</v>
      </c>
      <c r="E28" s="2" t="s">
        <v>90</v>
      </c>
      <c r="F28" s="2" t="s">
        <v>16</v>
      </c>
      <c r="G28" s="2" t="s">
        <v>89</v>
      </c>
      <c r="H28" s="2" t="s">
        <v>17</v>
      </c>
      <c r="I28" s="2" t="s">
        <v>89</v>
      </c>
      <c r="J28" s="2" t="s">
        <v>15</v>
      </c>
      <c r="K28" s="2" t="s">
        <v>90</v>
      </c>
      <c r="L28" s="2" t="s">
        <v>90</v>
      </c>
      <c r="M28" s="2" t="s">
        <v>90</v>
      </c>
      <c r="N28" s="2" t="s">
        <v>90</v>
      </c>
      <c r="O28" s="2" t="s">
        <v>90</v>
      </c>
      <c r="P28" s="2" t="s">
        <v>90</v>
      </c>
      <c r="Q28" s="2" t="s">
        <v>90</v>
      </c>
      <c r="R28" s="2" t="s">
        <v>90</v>
      </c>
      <c r="S28" s="2" t="s">
        <v>90</v>
      </c>
      <c r="T28" s="2" t="s">
        <v>90</v>
      </c>
      <c r="U28" s="48">
        <v>45525.0</v>
      </c>
    </row>
    <row r="29" ht="15.75" customHeight="1">
      <c r="A29" s="2" t="s">
        <v>389</v>
      </c>
      <c r="B29" s="2" t="s">
        <v>15</v>
      </c>
      <c r="C29" s="2" t="s">
        <v>90</v>
      </c>
      <c r="D29" s="2" t="s">
        <v>17</v>
      </c>
      <c r="E29" s="2" t="s">
        <v>90</v>
      </c>
      <c r="F29" s="2" t="s">
        <v>16</v>
      </c>
      <c r="G29" s="2" t="s">
        <v>89</v>
      </c>
      <c r="H29" s="2" t="s">
        <v>89</v>
      </c>
      <c r="I29" s="2" t="s">
        <v>89</v>
      </c>
      <c r="J29" s="2" t="s">
        <v>89</v>
      </c>
      <c r="K29" s="2" t="s">
        <v>90</v>
      </c>
      <c r="L29" s="2" t="s">
        <v>90</v>
      </c>
      <c r="M29" s="2" t="s">
        <v>90</v>
      </c>
      <c r="N29" s="2" t="s">
        <v>90</v>
      </c>
      <c r="O29" s="2" t="s">
        <v>90</v>
      </c>
      <c r="P29" s="2" t="s">
        <v>90</v>
      </c>
      <c r="Q29" s="2" t="s">
        <v>90</v>
      </c>
      <c r="R29" s="2" t="s">
        <v>90</v>
      </c>
      <c r="S29" s="2" t="s">
        <v>90</v>
      </c>
      <c r="T29" s="2" t="s">
        <v>90</v>
      </c>
      <c r="U29" s="48">
        <v>45525.0</v>
      </c>
    </row>
    <row r="30" ht="15.75" customHeight="1">
      <c r="A30" s="2" t="s">
        <v>556</v>
      </c>
      <c r="B30" s="2" t="s">
        <v>90</v>
      </c>
      <c r="C30" s="2" t="s">
        <v>90</v>
      </c>
      <c r="D30" s="2" t="s">
        <v>17</v>
      </c>
      <c r="E30" s="2" t="s">
        <v>90</v>
      </c>
      <c r="F30" s="2" t="s">
        <v>16</v>
      </c>
      <c r="G30" s="2" t="s">
        <v>90</v>
      </c>
      <c r="H30" s="2" t="s">
        <v>90</v>
      </c>
      <c r="I30" s="2" t="s">
        <v>90</v>
      </c>
      <c r="J30" s="2" t="s">
        <v>15</v>
      </c>
      <c r="K30" s="2" t="s">
        <v>90</v>
      </c>
      <c r="L30" s="2" t="s">
        <v>90</v>
      </c>
      <c r="M30" s="2" t="s">
        <v>90</v>
      </c>
      <c r="N30" s="2" t="s">
        <v>90</v>
      </c>
      <c r="O30" s="2" t="s">
        <v>90</v>
      </c>
      <c r="P30" s="2" t="s">
        <v>90</v>
      </c>
      <c r="Q30" s="2" t="s">
        <v>90</v>
      </c>
      <c r="R30" s="2" t="s">
        <v>90</v>
      </c>
      <c r="S30" s="2" t="s">
        <v>90</v>
      </c>
      <c r="T30" s="2" t="s">
        <v>90</v>
      </c>
      <c r="U30" s="48">
        <v>45525.0</v>
      </c>
    </row>
    <row r="31" ht="15.75" customHeight="1">
      <c r="A31" s="2" t="s">
        <v>557</v>
      </c>
      <c r="B31" s="2" t="s">
        <v>15</v>
      </c>
      <c r="C31" s="2" t="s">
        <v>90</v>
      </c>
      <c r="D31" s="2" t="s">
        <v>90</v>
      </c>
      <c r="E31" s="2" t="s">
        <v>90</v>
      </c>
      <c r="F31" s="2" t="s">
        <v>16</v>
      </c>
      <c r="G31" s="2" t="s">
        <v>90</v>
      </c>
      <c r="H31" s="2" t="s">
        <v>90</v>
      </c>
      <c r="I31" s="2" t="s">
        <v>17</v>
      </c>
      <c r="J31" s="2" t="s">
        <v>89</v>
      </c>
      <c r="K31" s="2" t="s">
        <v>90</v>
      </c>
      <c r="L31" s="2" t="s">
        <v>90</v>
      </c>
      <c r="M31" s="2" t="s">
        <v>90</v>
      </c>
      <c r="N31" s="2" t="s">
        <v>90</v>
      </c>
      <c r="O31" s="2" t="s">
        <v>90</v>
      </c>
      <c r="P31" s="2" t="s">
        <v>90</v>
      </c>
      <c r="Q31" s="2" t="s">
        <v>90</v>
      </c>
      <c r="R31" s="2" t="s">
        <v>90</v>
      </c>
      <c r="S31" s="2" t="s">
        <v>90</v>
      </c>
      <c r="T31" s="2" t="s">
        <v>90</v>
      </c>
      <c r="U31" s="48">
        <v>45525.0</v>
      </c>
    </row>
    <row r="32" ht="15.75" customHeight="1">
      <c r="A32" s="2" t="s">
        <v>110</v>
      </c>
      <c r="B32" s="2" t="s">
        <v>15</v>
      </c>
      <c r="C32" s="2" t="s">
        <v>90</v>
      </c>
      <c r="D32" s="2" t="s">
        <v>16</v>
      </c>
      <c r="E32" s="2" t="s">
        <v>90</v>
      </c>
      <c r="F32" s="2" t="s">
        <v>16</v>
      </c>
      <c r="G32" s="2" t="s">
        <v>15</v>
      </c>
      <c r="H32" s="2" t="s">
        <v>90</v>
      </c>
      <c r="I32" s="2" t="s">
        <v>16</v>
      </c>
      <c r="J32" s="2" t="s">
        <v>15</v>
      </c>
      <c r="K32" s="2" t="s">
        <v>90</v>
      </c>
      <c r="L32" s="2" t="s">
        <v>90</v>
      </c>
      <c r="M32" s="2" t="s">
        <v>90</v>
      </c>
      <c r="N32" s="2" t="s">
        <v>90</v>
      </c>
      <c r="O32" s="2" t="s">
        <v>90</v>
      </c>
      <c r="P32" s="2" t="s">
        <v>90</v>
      </c>
      <c r="Q32" s="2" t="s">
        <v>90</v>
      </c>
      <c r="R32" s="2" t="s">
        <v>90</v>
      </c>
      <c r="S32" s="2" t="s">
        <v>90</v>
      </c>
      <c r="T32" s="2" t="s">
        <v>90</v>
      </c>
      <c r="U32" s="48">
        <v>45525.0</v>
      </c>
    </row>
    <row r="33" ht="15.75" customHeight="1">
      <c r="A33" s="2" t="s">
        <v>110</v>
      </c>
      <c r="B33" s="2" t="s">
        <v>15</v>
      </c>
      <c r="C33" s="2" t="s">
        <v>90</v>
      </c>
      <c r="D33" s="2" t="s">
        <v>16</v>
      </c>
      <c r="E33" s="2" t="s">
        <v>90</v>
      </c>
      <c r="F33" s="2" t="s">
        <v>16</v>
      </c>
      <c r="G33" s="2" t="s">
        <v>15</v>
      </c>
      <c r="H33" s="2" t="s">
        <v>90</v>
      </c>
      <c r="I33" s="2" t="s">
        <v>16</v>
      </c>
      <c r="J33" s="2" t="s">
        <v>15</v>
      </c>
      <c r="K33" s="2" t="s">
        <v>90</v>
      </c>
      <c r="L33" s="2" t="s">
        <v>90</v>
      </c>
      <c r="M33" s="2" t="s">
        <v>90</v>
      </c>
      <c r="N33" s="2" t="s">
        <v>90</v>
      </c>
      <c r="O33" s="2" t="s">
        <v>90</v>
      </c>
      <c r="P33" s="2" t="s">
        <v>90</v>
      </c>
      <c r="Q33" s="2" t="s">
        <v>90</v>
      </c>
      <c r="R33" s="2" t="s">
        <v>90</v>
      </c>
      <c r="S33" s="2" t="s">
        <v>90</v>
      </c>
      <c r="T33" s="2" t="s">
        <v>90</v>
      </c>
      <c r="U33" s="48">
        <v>45525.0</v>
      </c>
    </row>
    <row r="34" ht="15.75" customHeight="1">
      <c r="A34" s="2" t="s">
        <v>92</v>
      </c>
      <c r="B34" s="2" t="s">
        <v>90</v>
      </c>
      <c r="C34" s="2" t="s">
        <v>90</v>
      </c>
      <c r="D34" s="2" t="s">
        <v>15</v>
      </c>
      <c r="E34" s="2" t="s">
        <v>90</v>
      </c>
      <c r="F34" s="2" t="s">
        <v>16</v>
      </c>
      <c r="G34" s="2" t="s">
        <v>90</v>
      </c>
      <c r="H34" s="2" t="s">
        <v>17</v>
      </c>
      <c r="I34" s="2" t="s">
        <v>90</v>
      </c>
      <c r="J34" s="2" t="s">
        <v>17</v>
      </c>
      <c r="K34" s="2" t="s">
        <v>90</v>
      </c>
      <c r="L34" s="2" t="s">
        <v>90</v>
      </c>
      <c r="M34" s="2" t="s">
        <v>90</v>
      </c>
      <c r="N34" s="2" t="s">
        <v>90</v>
      </c>
      <c r="O34" s="2" t="s">
        <v>90</v>
      </c>
      <c r="P34" s="2" t="s">
        <v>90</v>
      </c>
      <c r="Q34" s="2" t="s">
        <v>90</v>
      </c>
      <c r="R34" s="2" t="s">
        <v>90</v>
      </c>
      <c r="S34" s="2" t="s">
        <v>90</v>
      </c>
      <c r="T34" s="2" t="s">
        <v>90</v>
      </c>
      <c r="U34" s="48">
        <v>45525.0</v>
      </c>
    </row>
    <row r="35" ht="15.75" customHeight="1">
      <c r="A35" s="2" t="s">
        <v>553</v>
      </c>
      <c r="B35" s="2" t="s">
        <v>90</v>
      </c>
      <c r="C35" s="2" t="s">
        <v>90</v>
      </c>
      <c r="D35" s="2" t="s">
        <v>89</v>
      </c>
      <c r="E35" s="2" t="s">
        <v>90</v>
      </c>
      <c r="F35" s="2" t="s">
        <v>16</v>
      </c>
      <c r="G35" s="2" t="s">
        <v>90</v>
      </c>
      <c r="H35" s="2" t="s">
        <v>17</v>
      </c>
      <c r="I35" s="2" t="s">
        <v>15</v>
      </c>
      <c r="J35" s="2" t="s">
        <v>89</v>
      </c>
      <c r="K35" s="2" t="s">
        <v>90</v>
      </c>
      <c r="L35" s="2" t="s">
        <v>90</v>
      </c>
      <c r="M35" s="2" t="s">
        <v>90</v>
      </c>
      <c r="N35" s="2" t="s">
        <v>90</v>
      </c>
      <c r="O35" s="2" t="s">
        <v>90</v>
      </c>
      <c r="P35" s="2" t="s">
        <v>90</v>
      </c>
      <c r="Q35" s="2" t="s">
        <v>90</v>
      </c>
      <c r="R35" s="2" t="s">
        <v>90</v>
      </c>
      <c r="S35" s="2" t="s">
        <v>90</v>
      </c>
      <c r="T35" s="2" t="s">
        <v>90</v>
      </c>
      <c r="U35" s="48">
        <v>45525.0</v>
      </c>
    </row>
    <row r="36" ht="15.75" customHeight="1">
      <c r="A36" s="2" t="s">
        <v>558</v>
      </c>
      <c r="B36" s="2" t="s">
        <v>89</v>
      </c>
      <c r="C36" s="2" t="s">
        <v>90</v>
      </c>
      <c r="D36" s="2" t="s">
        <v>15</v>
      </c>
      <c r="E36" s="2" t="s">
        <v>90</v>
      </c>
      <c r="F36" s="2" t="s">
        <v>16</v>
      </c>
      <c r="G36" s="2" t="s">
        <v>90</v>
      </c>
      <c r="H36" s="2" t="s">
        <v>89</v>
      </c>
      <c r="I36" s="2" t="s">
        <v>90</v>
      </c>
      <c r="J36" s="2" t="s">
        <v>17</v>
      </c>
      <c r="K36" s="2" t="s">
        <v>90</v>
      </c>
      <c r="L36" s="2" t="s">
        <v>90</v>
      </c>
      <c r="M36" s="2" t="s">
        <v>90</v>
      </c>
      <c r="N36" s="2" t="s">
        <v>90</v>
      </c>
      <c r="O36" s="2" t="s">
        <v>90</v>
      </c>
      <c r="P36" s="2" t="s">
        <v>90</v>
      </c>
      <c r="Q36" s="2" t="s">
        <v>90</v>
      </c>
      <c r="R36" s="2" t="s">
        <v>90</v>
      </c>
      <c r="S36" s="2" t="s">
        <v>90</v>
      </c>
      <c r="T36" s="2" t="s">
        <v>90</v>
      </c>
      <c r="U36" s="48">
        <v>45525.0</v>
      </c>
    </row>
    <row r="37" ht="15.75" customHeight="1">
      <c r="A37" s="2" t="s">
        <v>559</v>
      </c>
      <c r="B37" s="2" t="s">
        <v>15</v>
      </c>
      <c r="C37" s="2" t="s">
        <v>90</v>
      </c>
      <c r="D37" s="2" t="s">
        <v>16</v>
      </c>
      <c r="E37" s="2" t="s">
        <v>90</v>
      </c>
      <c r="F37" s="2" t="s">
        <v>15</v>
      </c>
      <c r="G37" s="2" t="s">
        <v>16</v>
      </c>
      <c r="H37" s="2" t="s">
        <v>16</v>
      </c>
      <c r="I37" s="2" t="s">
        <v>16</v>
      </c>
      <c r="J37" s="2" t="s">
        <v>15</v>
      </c>
      <c r="K37" s="2" t="s">
        <v>90</v>
      </c>
      <c r="L37" s="2" t="s">
        <v>90</v>
      </c>
      <c r="M37" s="2" t="s">
        <v>90</v>
      </c>
      <c r="N37" s="2" t="s">
        <v>90</v>
      </c>
      <c r="O37" s="2" t="s">
        <v>90</v>
      </c>
      <c r="P37" s="2" t="s">
        <v>90</v>
      </c>
      <c r="Q37" s="2" t="s">
        <v>90</v>
      </c>
      <c r="R37" s="2" t="s">
        <v>90</v>
      </c>
      <c r="S37" s="2" t="s">
        <v>90</v>
      </c>
      <c r="T37" s="2" t="s">
        <v>90</v>
      </c>
      <c r="U37" s="48">
        <v>45525.0</v>
      </c>
    </row>
    <row r="38" ht="15.75" customHeight="1">
      <c r="A38" s="2" t="s">
        <v>31</v>
      </c>
      <c r="B38" s="2" t="s">
        <v>17</v>
      </c>
      <c r="C38" s="2" t="s">
        <v>90</v>
      </c>
      <c r="D38" s="2" t="s">
        <v>89</v>
      </c>
      <c r="E38" s="2" t="s">
        <v>90</v>
      </c>
      <c r="F38" s="2" t="s">
        <v>16</v>
      </c>
      <c r="G38" s="2" t="s">
        <v>90</v>
      </c>
      <c r="H38" s="2" t="s">
        <v>89</v>
      </c>
      <c r="I38" s="2" t="s">
        <v>16</v>
      </c>
      <c r="J38" s="2" t="s">
        <v>89</v>
      </c>
      <c r="K38" s="2" t="s">
        <v>90</v>
      </c>
      <c r="L38" s="2" t="s">
        <v>90</v>
      </c>
      <c r="M38" s="2" t="s">
        <v>90</v>
      </c>
      <c r="N38" s="2" t="s">
        <v>90</v>
      </c>
      <c r="O38" s="2" t="s">
        <v>90</v>
      </c>
      <c r="P38" s="2" t="s">
        <v>90</v>
      </c>
      <c r="Q38" s="2" t="s">
        <v>90</v>
      </c>
      <c r="R38" s="2" t="s">
        <v>90</v>
      </c>
      <c r="S38" s="2" t="s">
        <v>90</v>
      </c>
      <c r="T38" s="2" t="s">
        <v>90</v>
      </c>
      <c r="U38" s="48">
        <v>45526.0</v>
      </c>
    </row>
    <row r="39" ht="15.75" customHeight="1">
      <c r="A39" s="2" t="s">
        <v>44</v>
      </c>
      <c r="B39" s="2" t="s">
        <v>15</v>
      </c>
      <c r="C39" s="2" t="s">
        <v>90</v>
      </c>
      <c r="D39" s="2" t="s">
        <v>17</v>
      </c>
      <c r="E39" s="2" t="s">
        <v>90</v>
      </c>
      <c r="F39" s="2" t="s">
        <v>16</v>
      </c>
      <c r="G39" s="2" t="s">
        <v>89</v>
      </c>
      <c r="H39" s="2" t="s">
        <v>17</v>
      </c>
      <c r="I39" s="2" t="s">
        <v>89</v>
      </c>
      <c r="J39" s="2" t="s">
        <v>89</v>
      </c>
      <c r="K39" s="2" t="s">
        <v>90</v>
      </c>
      <c r="L39" s="2" t="s">
        <v>90</v>
      </c>
      <c r="M39" s="2" t="s">
        <v>90</v>
      </c>
      <c r="N39" s="2" t="s">
        <v>90</v>
      </c>
      <c r="O39" s="2" t="s">
        <v>90</v>
      </c>
      <c r="P39" s="2" t="s">
        <v>90</v>
      </c>
      <c r="Q39" s="2" t="s">
        <v>90</v>
      </c>
      <c r="R39" s="2" t="s">
        <v>90</v>
      </c>
      <c r="S39" s="2" t="s">
        <v>90</v>
      </c>
      <c r="T39" s="2" t="s">
        <v>90</v>
      </c>
      <c r="U39" s="48">
        <v>45526.0</v>
      </c>
    </row>
    <row r="40" ht="15.75" customHeight="1">
      <c r="A40" s="2" t="s">
        <v>560</v>
      </c>
      <c r="B40" s="2" t="s">
        <v>15</v>
      </c>
      <c r="C40" s="2" t="s">
        <v>90</v>
      </c>
      <c r="D40" s="2" t="s">
        <v>90</v>
      </c>
      <c r="E40" s="2" t="s">
        <v>90</v>
      </c>
      <c r="F40" s="2" t="s">
        <v>16</v>
      </c>
      <c r="G40" s="2" t="s">
        <v>90</v>
      </c>
      <c r="H40" s="2" t="s">
        <v>90</v>
      </c>
      <c r="I40" s="2" t="s">
        <v>90</v>
      </c>
      <c r="J40" s="2" t="s">
        <v>17</v>
      </c>
      <c r="K40" s="2" t="s">
        <v>90</v>
      </c>
      <c r="L40" s="2" t="s">
        <v>90</v>
      </c>
      <c r="M40" s="2" t="s">
        <v>90</v>
      </c>
      <c r="N40" s="2" t="s">
        <v>90</v>
      </c>
      <c r="O40" s="2" t="s">
        <v>90</v>
      </c>
      <c r="P40" s="2" t="s">
        <v>90</v>
      </c>
      <c r="Q40" s="2" t="s">
        <v>90</v>
      </c>
      <c r="R40" s="2" t="s">
        <v>90</v>
      </c>
      <c r="S40" s="2" t="s">
        <v>90</v>
      </c>
      <c r="T40" s="2" t="s">
        <v>90</v>
      </c>
      <c r="U40" s="48">
        <v>45526.0</v>
      </c>
    </row>
    <row r="41" ht="15.75" customHeight="1">
      <c r="A41" s="2" t="s">
        <v>460</v>
      </c>
      <c r="B41" s="2" t="s">
        <v>16</v>
      </c>
      <c r="C41" s="2" t="s">
        <v>90</v>
      </c>
      <c r="D41" s="2" t="s">
        <v>89</v>
      </c>
      <c r="E41" s="2" t="s">
        <v>90</v>
      </c>
      <c r="F41" s="2" t="s">
        <v>89</v>
      </c>
      <c r="G41" s="2" t="s">
        <v>90</v>
      </c>
      <c r="H41" s="2" t="s">
        <v>15</v>
      </c>
      <c r="I41" s="2" t="s">
        <v>89</v>
      </c>
      <c r="J41" s="2" t="s">
        <v>17</v>
      </c>
      <c r="K41" s="2" t="s">
        <v>90</v>
      </c>
      <c r="L41" s="2" t="s">
        <v>90</v>
      </c>
      <c r="M41" s="2" t="s">
        <v>90</v>
      </c>
      <c r="N41" s="2" t="s">
        <v>90</v>
      </c>
      <c r="O41" s="2" t="s">
        <v>90</v>
      </c>
      <c r="P41" s="2" t="s">
        <v>90</v>
      </c>
      <c r="Q41" s="2" t="s">
        <v>90</v>
      </c>
      <c r="R41" s="2" t="s">
        <v>90</v>
      </c>
      <c r="S41" s="2" t="s">
        <v>90</v>
      </c>
      <c r="T41" s="2" t="s">
        <v>90</v>
      </c>
      <c r="U41" s="48">
        <v>45526.0</v>
      </c>
    </row>
    <row r="42" ht="15.75" customHeight="1">
      <c r="A42" s="2" t="s">
        <v>535</v>
      </c>
      <c r="B42" s="2" t="s">
        <v>15</v>
      </c>
      <c r="C42" s="2" t="s">
        <v>90</v>
      </c>
      <c r="D42" s="2" t="s">
        <v>15</v>
      </c>
      <c r="E42" s="2" t="s">
        <v>90</v>
      </c>
      <c r="F42" s="2" t="s">
        <v>16</v>
      </c>
      <c r="G42" s="2" t="s">
        <v>89</v>
      </c>
      <c r="H42" s="2" t="s">
        <v>89</v>
      </c>
      <c r="I42" s="2" t="s">
        <v>15</v>
      </c>
      <c r="J42" s="2" t="s">
        <v>89</v>
      </c>
      <c r="K42" s="2" t="s">
        <v>90</v>
      </c>
      <c r="L42" s="2" t="s">
        <v>90</v>
      </c>
      <c r="M42" s="2" t="s">
        <v>90</v>
      </c>
      <c r="N42" s="2" t="s">
        <v>90</v>
      </c>
      <c r="O42" s="2" t="s">
        <v>90</v>
      </c>
      <c r="P42" s="2" t="s">
        <v>90</v>
      </c>
      <c r="Q42" s="2" t="s">
        <v>90</v>
      </c>
      <c r="R42" s="2" t="s">
        <v>90</v>
      </c>
      <c r="S42" s="2" t="s">
        <v>90</v>
      </c>
      <c r="T42" s="2" t="s">
        <v>90</v>
      </c>
      <c r="U42" s="48">
        <v>45527.0</v>
      </c>
    </row>
    <row r="43" ht="15.75" customHeight="1">
      <c r="A43" s="2" t="s">
        <v>561</v>
      </c>
      <c r="B43" s="2" t="s">
        <v>15</v>
      </c>
      <c r="C43" s="2" t="s">
        <v>90</v>
      </c>
      <c r="D43" s="2" t="s">
        <v>15</v>
      </c>
      <c r="E43" s="2" t="s">
        <v>90</v>
      </c>
      <c r="F43" s="2" t="s">
        <v>16</v>
      </c>
      <c r="G43" s="2" t="s">
        <v>90</v>
      </c>
      <c r="H43" s="2" t="s">
        <v>15</v>
      </c>
      <c r="I43" s="2" t="s">
        <v>90</v>
      </c>
      <c r="J43" s="2" t="s">
        <v>16</v>
      </c>
      <c r="K43" s="2" t="s">
        <v>90</v>
      </c>
      <c r="L43" s="2" t="s">
        <v>90</v>
      </c>
      <c r="M43" s="2" t="s">
        <v>90</v>
      </c>
      <c r="N43" s="2" t="s">
        <v>90</v>
      </c>
      <c r="O43" s="2" t="s">
        <v>90</v>
      </c>
      <c r="P43" s="2" t="s">
        <v>90</v>
      </c>
      <c r="Q43" s="2" t="s">
        <v>90</v>
      </c>
      <c r="R43" s="2" t="s">
        <v>90</v>
      </c>
      <c r="S43" s="2" t="s">
        <v>90</v>
      </c>
      <c r="T43" s="2" t="s">
        <v>90</v>
      </c>
      <c r="U43" s="48">
        <v>45527.0</v>
      </c>
    </row>
    <row r="44" ht="15.75" customHeight="1">
      <c r="A44" s="2" t="s">
        <v>562</v>
      </c>
      <c r="B44" s="2" t="s">
        <v>15</v>
      </c>
      <c r="C44" s="2" t="s">
        <v>90</v>
      </c>
      <c r="D44" s="2" t="s">
        <v>16</v>
      </c>
      <c r="E44" s="2" t="s">
        <v>90</v>
      </c>
      <c r="F44" s="2" t="s">
        <v>16</v>
      </c>
      <c r="G44" s="2" t="s">
        <v>15</v>
      </c>
      <c r="H44" s="2" t="s">
        <v>16</v>
      </c>
      <c r="I44" s="2" t="s">
        <v>15</v>
      </c>
      <c r="J44" s="2" t="s">
        <v>16</v>
      </c>
      <c r="K44" s="2" t="s">
        <v>90</v>
      </c>
      <c r="L44" s="2" t="s">
        <v>90</v>
      </c>
      <c r="M44" s="2" t="s">
        <v>90</v>
      </c>
      <c r="N44" s="2" t="s">
        <v>90</v>
      </c>
      <c r="O44" s="2" t="s">
        <v>90</v>
      </c>
      <c r="P44" s="2" t="s">
        <v>90</v>
      </c>
      <c r="Q44" s="2" t="s">
        <v>90</v>
      </c>
      <c r="R44" s="2" t="s">
        <v>90</v>
      </c>
      <c r="S44" s="2" t="s">
        <v>90</v>
      </c>
      <c r="T44" s="2" t="s">
        <v>90</v>
      </c>
      <c r="U44" s="48">
        <v>45527.0</v>
      </c>
    </row>
    <row r="45" ht="15.75" customHeight="1">
      <c r="A45" s="2" t="s">
        <v>563</v>
      </c>
      <c r="B45" s="2" t="s">
        <v>15</v>
      </c>
      <c r="C45" s="2" t="s">
        <v>90</v>
      </c>
      <c r="D45" s="2" t="s">
        <v>16</v>
      </c>
      <c r="E45" s="2" t="s">
        <v>90</v>
      </c>
      <c r="F45" s="2" t="s">
        <v>16</v>
      </c>
      <c r="G45" s="2" t="s">
        <v>15</v>
      </c>
      <c r="H45" s="2" t="s">
        <v>16</v>
      </c>
      <c r="I45" s="2" t="s">
        <v>15</v>
      </c>
      <c r="J45" s="2" t="s">
        <v>16</v>
      </c>
      <c r="K45" s="2" t="s">
        <v>90</v>
      </c>
      <c r="L45" s="2" t="s">
        <v>90</v>
      </c>
      <c r="M45" s="2" t="s">
        <v>90</v>
      </c>
      <c r="N45" s="2" t="s">
        <v>90</v>
      </c>
      <c r="O45" s="2" t="s">
        <v>90</v>
      </c>
      <c r="P45" s="2" t="s">
        <v>90</v>
      </c>
      <c r="Q45" s="2" t="s">
        <v>90</v>
      </c>
      <c r="R45" s="2" t="s">
        <v>90</v>
      </c>
      <c r="S45" s="2" t="s">
        <v>90</v>
      </c>
      <c r="T45" s="2" t="s">
        <v>90</v>
      </c>
      <c r="U45" s="48">
        <v>45527.0</v>
      </c>
    </row>
    <row r="46" ht="15.75" customHeight="1">
      <c r="A46" s="2" t="s">
        <v>564</v>
      </c>
      <c r="B46" s="2" t="s">
        <v>17</v>
      </c>
      <c r="C46" s="2" t="s">
        <v>90</v>
      </c>
      <c r="D46" s="2" t="s">
        <v>89</v>
      </c>
      <c r="E46" s="2" t="s">
        <v>90</v>
      </c>
      <c r="F46" s="2" t="s">
        <v>16</v>
      </c>
      <c r="G46" s="2" t="s">
        <v>15</v>
      </c>
      <c r="H46" s="2" t="s">
        <v>89</v>
      </c>
      <c r="I46" s="2" t="s">
        <v>89</v>
      </c>
      <c r="J46" s="2" t="s">
        <v>89</v>
      </c>
      <c r="K46" s="2" t="s">
        <v>90</v>
      </c>
      <c r="L46" s="2" t="s">
        <v>90</v>
      </c>
      <c r="M46" s="2" t="s">
        <v>90</v>
      </c>
      <c r="N46" s="2" t="s">
        <v>90</v>
      </c>
      <c r="O46" s="2" t="s">
        <v>90</v>
      </c>
      <c r="P46" s="2" t="s">
        <v>90</v>
      </c>
      <c r="Q46" s="2" t="s">
        <v>90</v>
      </c>
      <c r="R46" s="2" t="s">
        <v>90</v>
      </c>
      <c r="S46" s="2" t="s">
        <v>90</v>
      </c>
      <c r="T46" s="2" t="s">
        <v>90</v>
      </c>
      <c r="U46" s="48">
        <v>45527.0</v>
      </c>
    </row>
    <row r="47" ht="15.75" customHeight="1">
      <c r="A47" s="2" t="s">
        <v>246</v>
      </c>
      <c r="B47" s="2" t="s">
        <v>16</v>
      </c>
      <c r="C47" s="2" t="s">
        <v>90</v>
      </c>
      <c r="D47" s="2" t="s">
        <v>89</v>
      </c>
      <c r="E47" s="2" t="s">
        <v>90</v>
      </c>
      <c r="F47" s="2" t="s">
        <v>15</v>
      </c>
      <c r="G47" s="2" t="s">
        <v>90</v>
      </c>
      <c r="H47" s="2" t="s">
        <v>90</v>
      </c>
      <c r="I47" s="2" t="s">
        <v>17</v>
      </c>
      <c r="J47" s="2" t="s">
        <v>89</v>
      </c>
      <c r="K47" s="2" t="s">
        <v>90</v>
      </c>
      <c r="L47" s="2" t="s">
        <v>90</v>
      </c>
      <c r="M47" s="2" t="s">
        <v>90</v>
      </c>
      <c r="N47" s="2" t="s">
        <v>90</v>
      </c>
      <c r="O47" s="2" t="s">
        <v>90</v>
      </c>
      <c r="P47" s="2" t="s">
        <v>90</v>
      </c>
      <c r="Q47" s="2" t="s">
        <v>90</v>
      </c>
      <c r="R47" s="2" t="s">
        <v>90</v>
      </c>
      <c r="S47" s="2" t="s">
        <v>90</v>
      </c>
      <c r="T47" s="2" t="s">
        <v>90</v>
      </c>
      <c r="U47" s="48">
        <v>45527.0</v>
      </c>
    </row>
    <row r="48" ht="15.75" customHeight="1">
      <c r="A48" s="2" t="s">
        <v>565</v>
      </c>
      <c r="B48" s="2" t="s">
        <v>15</v>
      </c>
      <c r="C48" s="2" t="s">
        <v>90</v>
      </c>
      <c r="D48" s="2" t="s">
        <v>89</v>
      </c>
      <c r="E48" s="2" t="s">
        <v>90</v>
      </c>
      <c r="F48" s="2" t="s">
        <v>16</v>
      </c>
      <c r="G48" s="2" t="s">
        <v>90</v>
      </c>
      <c r="H48" s="2" t="s">
        <v>89</v>
      </c>
      <c r="I48" s="2" t="s">
        <v>17</v>
      </c>
      <c r="J48" s="2" t="s">
        <v>17</v>
      </c>
      <c r="K48" s="2" t="s">
        <v>90</v>
      </c>
      <c r="L48" s="2" t="s">
        <v>90</v>
      </c>
      <c r="M48" s="2" t="s">
        <v>90</v>
      </c>
      <c r="N48" s="2" t="s">
        <v>90</v>
      </c>
      <c r="O48" s="2" t="s">
        <v>90</v>
      </c>
      <c r="P48" s="2" t="s">
        <v>90</v>
      </c>
      <c r="Q48" s="2" t="s">
        <v>90</v>
      </c>
      <c r="R48" s="2" t="s">
        <v>90</v>
      </c>
      <c r="S48" s="2" t="s">
        <v>90</v>
      </c>
      <c r="T48" s="2" t="s">
        <v>90</v>
      </c>
      <c r="U48" s="48">
        <v>45527.0</v>
      </c>
    </row>
    <row r="49" ht="15.75" customHeight="1">
      <c r="A49" s="2" t="s">
        <v>553</v>
      </c>
      <c r="B49" s="2" t="s">
        <v>16</v>
      </c>
      <c r="C49" s="2" t="s">
        <v>90</v>
      </c>
      <c r="D49" s="2" t="s">
        <v>17</v>
      </c>
      <c r="E49" s="2" t="s">
        <v>90</v>
      </c>
      <c r="F49" s="2" t="s">
        <v>15</v>
      </c>
      <c r="G49" s="2" t="s">
        <v>90</v>
      </c>
      <c r="H49" s="2" t="s">
        <v>89</v>
      </c>
      <c r="I49" s="2" t="s">
        <v>89</v>
      </c>
      <c r="J49" s="2" t="s">
        <v>90</v>
      </c>
      <c r="K49" s="2" t="s">
        <v>90</v>
      </c>
      <c r="L49" s="2" t="s">
        <v>90</v>
      </c>
      <c r="M49" s="2" t="s">
        <v>90</v>
      </c>
      <c r="N49" s="2" t="s">
        <v>90</v>
      </c>
      <c r="O49" s="2" t="s">
        <v>90</v>
      </c>
      <c r="P49" s="2" t="s">
        <v>90</v>
      </c>
      <c r="Q49" s="2" t="s">
        <v>90</v>
      </c>
      <c r="R49" s="2" t="s">
        <v>90</v>
      </c>
      <c r="S49" s="2" t="s">
        <v>90</v>
      </c>
      <c r="T49" s="2" t="s">
        <v>90</v>
      </c>
      <c r="U49" s="48">
        <v>45527.0</v>
      </c>
    </row>
    <row r="50" ht="15.75" customHeight="1">
      <c r="A50" s="2" t="s">
        <v>92</v>
      </c>
      <c r="B50" s="2" t="s">
        <v>90</v>
      </c>
      <c r="C50" s="2" t="s">
        <v>90</v>
      </c>
      <c r="D50" s="2" t="s">
        <v>17</v>
      </c>
      <c r="E50" s="2" t="s">
        <v>90</v>
      </c>
      <c r="F50" s="2" t="s">
        <v>16</v>
      </c>
      <c r="G50" s="2" t="s">
        <v>90</v>
      </c>
      <c r="H50" s="2" t="s">
        <v>89</v>
      </c>
      <c r="I50" s="2" t="s">
        <v>90</v>
      </c>
      <c r="J50" s="2" t="s">
        <v>15</v>
      </c>
      <c r="K50" s="2" t="s">
        <v>90</v>
      </c>
      <c r="L50" s="2" t="s">
        <v>90</v>
      </c>
      <c r="M50" s="2" t="s">
        <v>90</v>
      </c>
      <c r="N50" s="2" t="s">
        <v>90</v>
      </c>
      <c r="O50" s="2" t="s">
        <v>90</v>
      </c>
      <c r="P50" s="2" t="s">
        <v>90</v>
      </c>
      <c r="Q50" s="2" t="s">
        <v>90</v>
      </c>
      <c r="R50" s="2" t="s">
        <v>90</v>
      </c>
      <c r="S50" s="2" t="s">
        <v>90</v>
      </c>
      <c r="T50" s="2" t="s">
        <v>90</v>
      </c>
      <c r="U50" s="48">
        <v>45527.0</v>
      </c>
    </row>
    <row r="51" ht="15.75" customHeight="1">
      <c r="A51" s="2" t="s">
        <v>27</v>
      </c>
      <c r="B51" s="2" t="s">
        <v>17</v>
      </c>
      <c r="C51" s="2" t="s">
        <v>90</v>
      </c>
      <c r="D51" s="2" t="s">
        <v>16</v>
      </c>
      <c r="E51" s="2" t="s">
        <v>90</v>
      </c>
      <c r="F51" s="2" t="s">
        <v>17</v>
      </c>
      <c r="G51" s="2" t="s">
        <v>89</v>
      </c>
      <c r="H51" s="2" t="s">
        <v>16</v>
      </c>
      <c r="I51" s="2" t="s">
        <v>89</v>
      </c>
      <c r="J51" s="2" t="s">
        <v>15</v>
      </c>
      <c r="K51" s="2" t="s">
        <v>90</v>
      </c>
      <c r="L51" s="2" t="s">
        <v>90</v>
      </c>
      <c r="M51" s="2" t="s">
        <v>90</v>
      </c>
      <c r="N51" s="2" t="s">
        <v>90</v>
      </c>
      <c r="O51" s="2" t="s">
        <v>90</v>
      </c>
      <c r="P51" s="2" t="s">
        <v>90</v>
      </c>
      <c r="Q51" s="2" t="s">
        <v>90</v>
      </c>
      <c r="R51" s="2" t="s">
        <v>90</v>
      </c>
      <c r="S51" s="2" t="s">
        <v>90</v>
      </c>
      <c r="T51" s="2" t="s">
        <v>90</v>
      </c>
      <c r="U51" s="48">
        <v>45527.0</v>
      </c>
    </row>
    <row r="52" ht="15.75" customHeight="1">
      <c r="A52" s="2" t="s">
        <v>566</v>
      </c>
      <c r="B52" s="2" t="s">
        <v>89</v>
      </c>
      <c r="C52" s="2" t="s">
        <v>90</v>
      </c>
      <c r="D52" s="2" t="s">
        <v>15</v>
      </c>
      <c r="E52" s="2" t="s">
        <v>90</v>
      </c>
      <c r="F52" s="2" t="s">
        <v>15</v>
      </c>
      <c r="G52" s="2" t="s">
        <v>89</v>
      </c>
      <c r="H52" s="2" t="s">
        <v>89</v>
      </c>
      <c r="I52" s="2" t="s">
        <v>89</v>
      </c>
      <c r="J52" s="2" t="s">
        <v>16</v>
      </c>
      <c r="K52" s="2" t="s">
        <v>90</v>
      </c>
      <c r="L52" s="2" t="s">
        <v>90</v>
      </c>
      <c r="M52" s="2" t="s">
        <v>90</v>
      </c>
      <c r="N52" s="2" t="s">
        <v>90</v>
      </c>
      <c r="O52" s="2" t="s">
        <v>90</v>
      </c>
      <c r="P52" s="2" t="s">
        <v>90</v>
      </c>
      <c r="Q52" s="2" t="s">
        <v>90</v>
      </c>
      <c r="R52" s="2" t="s">
        <v>90</v>
      </c>
      <c r="S52" s="2" t="s">
        <v>90</v>
      </c>
      <c r="T52" s="2" t="s">
        <v>90</v>
      </c>
      <c r="U52" s="48">
        <v>45527.0</v>
      </c>
    </row>
    <row r="53" ht="15.75" customHeight="1">
      <c r="A53" s="2" t="s">
        <v>567</v>
      </c>
      <c r="B53" s="2" t="s">
        <v>90</v>
      </c>
      <c r="C53" s="2" t="s">
        <v>90</v>
      </c>
      <c r="D53" s="2" t="s">
        <v>89</v>
      </c>
      <c r="E53" s="2" t="s">
        <v>90</v>
      </c>
      <c r="F53" s="2" t="s">
        <v>16</v>
      </c>
      <c r="G53" s="2" t="s">
        <v>90</v>
      </c>
      <c r="H53" s="2" t="s">
        <v>90</v>
      </c>
      <c r="I53" s="2" t="s">
        <v>15</v>
      </c>
      <c r="J53" s="2" t="s">
        <v>17</v>
      </c>
      <c r="K53" s="2" t="s">
        <v>90</v>
      </c>
      <c r="L53" s="2" t="s">
        <v>90</v>
      </c>
      <c r="M53" s="2" t="s">
        <v>90</v>
      </c>
      <c r="N53" s="2" t="s">
        <v>90</v>
      </c>
      <c r="O53" s="2" t="s">
        <v>90</v>
      </c>
      <c r="P53" s="2" t="s">
        <v>90</v>
      </c>
      <c r="Q53" s="2" t="s">
        <v>90</v>
      </c>
      <c r="R53" s="2" t="s">
        <v>90</v>
      </c>
      <c r="S53" s="2" t="s">
        <v>90</v>
      </c>
      <c r="T53" s="2" t="s">
        <v>90</v>
      </c>
      <c r="U53" s="48">
        <v>45527.0</v>
      </c>
    </row>
    <row r="54" ht="15.75" customHeight="1">
      <c r="A54" s="2" t="s">
        <v>201</v>
      </c>
      <c r="B54" s="2" t="s">
        <v>17</v>
      </c>
      <c r="C54" s="2" t="s">
        <v>90</v>
      </c>
      <c r="D54" s="2" t="s">
        <v>16</v>
      </c>
      <c r="E54" s="2" t="s">
        <v>90</v>
      </c>
      <c r="F54" s="2" t="s">
        <v>16</v>
      </c>
      <c r="G54" s="2" t="s">
        <v>89</v>
      </c>
      <c r="H54" s="2" t="s">
        <v>17</v>
      </c>
      <c r="I54" s="2" t="s">
        <v>15</v>
      </c>
      <c r="J54" s="2" t="s">
        <v>15</v>
      </c>
      <c r="K54" s="2" t="s">
        <v>90</v>
      </c>
      <c r="L54" s="2" t="s">
        <v>17</v>
      </c>
      <c r="M54" s="2" t="s">
        <v>90</v>
      </c>
      <c r="N54" s="2" t="s">
        <v>90</v>
      </c>
      <c r="O54" s="2" t="s">
        <v>90</v>
      </c>
      <c r="P54" s="2" t="s">
        <v>90</v>
      </c>
      <c r="Q54" s="2" t="s">
        <v>90</v>
      </c>
      <c r="R54" s="2" t="s">
        <v>90</v>
      </c>
      <c r="S54" s="2" t="s">
        <v>90</v>
      </c>
      <c r="T54" s="2" t="s">
        <v>90</v>
      </c>
      <c r="U54" s="48">
        <v>45527.0</v>
      </c>
    </row>
    <row r="55" ht="15.75" customHeight="1">
      <c r="A55" s="2" t="s">
        <v>33</v>
      </c>
      <c r="B55" s="2" t="s">
        <v>16</v>
      </c>
      <c r="C55" s="2" t="s">
        <v>90</v>
      </c>
      <c r="D55" s="2" t="s">
        <v>89</v>
      </c>
      <c r="E55" s="2" t="s">
        <v>90</v>
      </c>
      <c r="F55" s="2" t="s">
        <v>89</v>
      </c>
      <c r="G55" s="2" t="s">
        <v>89</v>
      </c>
      <c r="H55" s="2" t="s">
        <v>16</v>
      </c>
      <c r="I55" s="2" t="s">
        <v>16</v>
      </c>
      <c r="J55" s="2" t="s">
        <v>89</v>
      </c>
      <c r="K55" s="2" t="s">
        <v>90</v>
      </c>
      <c r="L55" s="2" t="s">
        <v>89</v>
      </c>
      <c r="M55" s="2" t="s">
        <v>90</v>
      </c>
      <c r="N55" s="2" t="s">
        <v>90</v>
      </c>
      <c r="O55" s="2" t="s">
        <v>90</v>
      </c>
      <c r="P55" s="2" t="s">
        <v>90</v>
      </c>
      <c r="Q55" s="2" t="s">
        <v>90</v>
      </c>
      <c r="R55" s="2" t="s">
        <v>90</v>
      </c>
      <c r="S55" s="2" t="s">
        <v>90</v>
      </c>
      <c r="T55" s="2" t="s">
        <v>90</v>
      </c>
      <c r="U55" s="48">
        <v>45527.0</v>
      </c>
    </row>
    <row r="56" ht="15.75" customHeight="1">
      <c r="A56" s="2" t="s">
        <v>513</v>
      </c>
      <c r="B56" s="2" t="s">
        <v>16</v>
      </c>
      <c r="C56" s="2" t="s">
        <v>90</v>
      </c>
      <c r="D56" s="2" t="s">
        <v>90</v>
      </c>
      <c r="E56" s="2" t="s">
        <v>90</v>
      </c>
      <c r="F56" s="2" t="s">
        <v>15</v>
      </c>
      <c r="G56" s="2" t="s">
        <v>90</v>
      </c>
      <c r="H56" s="2" t="s">
        <v>90</v>
      </c>
      <c r="I56" s="2" t="s">
        <v>17</v>
      </c>
      <c r="J56" s="2" t="s">
        <v>89</v>
      </c>
      <c r="K56" s="2" t="s">
        <v>90</v>
      </c>
      <c r="L56" s="2" t="s">
        <v>89</v>
      </c>
      <c r="M56" s="2" t="s">
        <v>90</v>
      </c>
      <c r="N56" s="2" t="s">
        <v>90</v>
      </c>
      <c r="O56" s="2" t="s">
        <v>90</v>
      </c>
      <c r="P56" s="2" t="s">
        <v>90</v>
      </c>
      <c r="Q56" s="2" t="s">
        <v>90</v>
      </c>
      <c r="R56" s="2" t="s">
        <v>90</v>
      </c>
      <c r="S56" s="2" t="s">
        <v>90</v>
      </c>
      <c r="T56" s="2" t="s">
        <v>90</v>
      </c>
      <c r="U56" s="48">
        <v>45527.0</v>
      </c>
    </row>
    <row r="57" ht="15.75" customHeight="1">
      <c r="A57" s="2" t="s">
        <v>39</v>
      </c>
      <c r="B57" s="2" t="s">
        <v>15</v>
      </c>
      <c r="C57" s="2" t="s">
        <v>90</v>
      </c>
      <c r="D57" s="2" t="s">
        <v>90</v>
      </c>
      <c r="E57" s="2" t="s">
        <v>90</v>
      </c>
      <c r="F57" s="2" t="s">
        <v>16</v>
      </c>
      <c r="G57" s="2" t="s">
        <v>90</v>
      </c>
      <c r="H57" s="2" t="s">
        <v>90</v>
      </c>
      <c r="I57" s="2" t="s">
        <v>90</v>
      </c>
      <c r="J57" s="2" t="s">
        <v>16</v>
      </c>
      <c r="K57" s="2" t="s">
        <v>90</v>
      </c>
      <c r="L57" s="2" t="s">
        <v>15</v>
      </c>
      <c r="M57" s="2" t="s">
        <v>90</v>
      </c>
      <c r="N57" s="2" t="s">
        <v>90</v>
      </c>
      <c r="O57" s="2" t="s">
        <v>90</v>
      </c>
      <c r="P57" s="2" t="s">
        <v>90</v>
      </c>
      <c r="Q57" s="2" t="s">
        <v>90</v>
      </c>
      <c r="R57" s="2" t="s">
        <v>90</v>
      </c>
      <c r="S57" s="2" t="s">
        <v>90</v>
      </c>
      <c r="T57" s="2" t="s">
        <v>90</v>
      </c>
      <c r="U57" s="48">
        <v>45527.0</v>
      </c>
    </row>
    <row r="58" ht="15.75" customHeight="1">
      <c r="A58" s="2" t="s">
        <v>92</v>
      </c>
      <c r="B58" s="2" t="s">
        <v>90</v>
      </c>
      <c r="C58" s="2" t="s">
        <v>90</v>
      </c>
      <c r="D58" s="2" t="s">
        <v>89</v>
      </c>
      <c r="E58" s="2" t="s">
        <v>90</v>
      </c>
      <c r="F58" s="2" t="s">
        <v>16</v>
      </c>
      <c r="G58" s="2" t="s">
        <v>90</v>
      </c>
      <c r="H58" s="2" t="s">
        <v>17</v>
      </c>
      <c r="I58" s="2" t="s">
        <v>90</v>
      </c>
      <c r="J58" s="2" t="s">
        <v>15</v>
      </c>
      <c r="K58" s="2" t="s">
        <v>90</v>
      </c>
      <c r="L58" s="2" t="s">
        <v>89</v>
      </c>
      <c r="M58" s="2" t="s">
        <v>90</v>
      </c>
      <c r="N58" s="2" t="s">
        <v>90</v>
      </c>
      <c r="O58" s="2" t="s">
        <v>90</v>
      </c>
      <c r="P58" s="2" t="s">
        <v>90</v>
      </c>
      <c r="Q58" s="2" t="s">
        <v>90</v>
      </c>
      <c r="R58" s="2" t="s">
        <v>90</v>
      </c>
      <c r="S58" s="2" t="s">
        <v>90</v>
      </c>
      <c r="T58" s="2" t="s">
        <v>90</v>
      </c>
      <c r="U58" s="48">
        <v>45528.0</v>
      </c>
    </row>
    <row r="59" ht="15.75" customHeight="1">
      <c r="A59" s="47" t="s">
        <v>91</v>
      </c>
      <c r="B59" s="2" t="s">
        <v>15</v>
      </c>
      <c r="C59" s="2" t="s">
        <v>90</v>
      </c>
      <c r="D59" s="2" t="s">
        <v>16</v>
      </c>
      <c r="E59" s="2" t="s">
        <v>90</v>
      </c>
      <c r="F59" s="2" t="s">
        <v>16</v>
      </c>
      <c r="G59" s="2" t="s">
        <v>15</v>
      </c>
      <c r="H59" s="2" t="s">
        <v>17</v>
      </c>
      <c r="I59" s="2" t="s">
        <v>17</v>
      </c>
      <c r="J59" s="2" t="s">
        <v>15</v>
      </c>
      <c r="K59" s="2" t="s">
        <v>90</v>
      </c>
      <c r="L59" s="2" t="s">
        <v>17</v>
      </c>
      <c r="M59" s="2" t="s">
        <v>90</v>
      </c>
      <c r="N59" s="2" t="s">
        <v>90</v>
      </c>
      <c r="O59" s="2" t="s">
        <v>90</v>
      </c>
      <c r="P59" s="2" t="s">
        <v>90</v>
      </c>
      <c r="Q59" s="2" t="s">
        <v>90</v>
      </c>
      <c r="R59" s="2" t="s">
        <v>90</v>
      </c>
      <c r="S59" s="2" t="s">
        <v>90</v>
      </c>
      <c r="T59" s="2" t="s">
        <v>90</v>
      </c>
      <c r="U59" s="48">
        <v>45528.0</v>
      </c>
    </row>
    <row r="60" ht="15.75" customHeight="1">
      <c r="A60" s="2" t="s">
        <v>568</v>
      </c>
      <c r="B60" s="2" t="s">
        <v>90</v>
      </c>
      <c r="C60" s="2" t="s">
        <v>90</v>
      </c>
      <c r="D60" s="2" t="s">
        <v>17</v>
      </c>
      <c r="E60" s="2" t="s">
        <v>90</v>
      </c>
      <c r="F60" s="2" t="s">
        <v>16</v>
      </c>
      <c r="G60" s="2" t="s">
        <v>90</v>
      </c>
      <c r="H60" s="2" t="s">
        <v>15</v>
      </c>
      <c r="I60" s="2" t="s">
        <v>89</v>
      </c>
      <c r="J60" s="2" t="s">
        <v>89</v>
      </c>
      <c r="K60" s="2" t="s">
        <v>90</v>
      </c>
      <c r="L60" s="2" t="s">
        <v>90</v>
      </c>
      <c r="M60" s="2" t="s">
        <v>90</v>
      </c>
      <c r="N60" s="2" t="s">
        <v>90</v>
      </c>
      <c r="O60" s="2" t="s">
        <v>90</v>
      </c>
      <c r="P60" s="2" t="s">
        <v>90</v>
      </c>
      <c r="Q60" s="2" t="s">
        <v>90</v>
      </c>
      <c r="R60" s="2" t="s">
        <v>90</v>
      </c>
      <c r="S60" s="2" t="s">
        <v>90</v>
      </c>
      <c r="T60" s="2" t="s">
        <v>90</v>
      </c>
      <c r="U60" s="48">
        <v>45529.0</v>
      </c>
    </row>
    <row r="61" ht="15.75" customHeight="1">
      <c r="A61" s="2" t="s">
        <v>92</v>
      </c>
      <c r="B61" s="2" t="s">
        <v>90</v>
      </c>
      <c r="C61" s="2" t="s">
        <v>90</v>
      </c>
      <c r="D61" s="2" t="s">
        <v>17</v>
      </c>
      <c r="E61" s="2" t="s">
        <v>90</v>
      </c>
      <c r="F61" s="2" t="s">
        <v>16</v>
      </c>
      <c r="G61" s="2" t="s">
        <v>90</v>
      </c>
      <c r="H61" s="2" t="s">
        <v>17</v>
      </c>
      <c r="I61" s="2" t="s">
        <v>90</v>
      </c>
      <c r="J61" s="2" t="s">
        <v>15</v>
      </c>
      <c r="K61" s="2" t="s">
        <v>90</v>
      </c>
      <c r="L61" s="2" t="s">
        <v>90</v>
      </c>
      <c r="M61" s="2" t="s">
        <v>90</v>
      </c>
      <c r="N61" s="2" t="s">
        <v>90</v>
      </c>
      <c r="O61" s="2" t="s">
        <v>90</v>
      </c>
      <c r="P61" s="2" t="s">
        <v>90</v>
      </c>
      <c r="Q61" s="2" t="s">
        <v>90</v>
      </c>
      <c r="R61" s="2" t="s">
        <v>90</v>
      </c>
      <c r="S61" s="2" t="s">
        <v>90</v>
      </c>
      <c r="T61" s="2" t="s">
        <v>90</v>
      </c>
      <c r="U61" s="48">
        <v>45529.0</v>
      </c>
    </row>
    <row r="62" ht="15.75" customHeight="1">
      <c r="A62" s="2" t="s">
        <v>513</v>
      </c>
      <c r="B62" s="2" t="s">
        <v>89</v>
      </c>
      <c r="C62" s="2" t="s">
        <v>90</v>
      </c>
      <c r="D62" s="2" t="s">
        <v>90</v>
      </c>
      <c r="E62" s="2" t="s">
        <v>17</v>
      </c>
      <c r="F62" s="2" t="s">
        <v>16</v>
      </c>
      <c r="G62" s="2" t="s">
        <v>90</v>
      </c>
      <c r="H62" s="2" t="s">
        <v>90</v>
      </c>
      <c r="I62" s="2" t="s">
        <v>15</v>
      </c>
      <c r="J62" s="2" t="s">
        <v>89</v>
      </c>
      <c r="K62" s="2" t="s">
        <v>90</v>
      </c>
      <c r="L62" s="2" t="s">
        <v>89</v>
      </c>
      <c r="M62" s="2" t="s">
        <v>90</v>
      </c>
      <c r="N62" s="2" t="s">
        <v>90</v>
      </c>
      <c r="O62" s="2" t="s">
        <v>90</v>
      </c>
      <c r="P62" s="2" t="s">
        <v>90</v>
      </c>
      <c r="Q62" s="2" t="s">
        <v>90</v>
      </c>
      <c r="R62" s="2" t="s">
        <v>90</v>
      </c>
      <c r="S62" s="2" t="s">
        <v>89</v>
      </c>
      <c r="T62" s="2" t="s">
        <v>90</v>
      </c>
      <c r="U62" s="48">
        <v>45529.0</v>
      </c>
    </row>
    <row r="63" ht="15.75" customHeight="1">
      <c r="A63" s="2">
        <v>-1.0</v>
      </c>
      <c r="B63" s="2" t="s">
        <v>16</v>
      </c>
      <c r="C63" s="2" t="s">
        <v>90</v>
      </c>
      <c r="D63" s="2" t="s">
        <v>89</v>
      </c>
      <c r="E63" s="2" t="s">
        <v>17</v>
      </c>
      <c r="F63" s="2" t="s">
        <v>15</v>
      </c>
      <c r="G63" s="2" t="s">
        <v>90</v>
      </c>
      <c r="H63" s="2" t="s">
        <v>90</v>
      </c>
      <c r="I63" s="2" t="s">
        <v>89</v>
      </c>
      <c r="J63" s="2" t="s">
        <v>89</v>
      </c>
      <c r="K63" s="2" t="s">
        <v>90</v>
      </c>
      <c r="L63" s="2" t="s">
        <v>89</v>
      </c>
      <c r="M63" s="2" t="s">
        <v>90</v>
      </c>
      <c r="N63" s="2" t="s">
        <v>90</v>
      </c>
      <c r="O63" s="2" t="s">
        <v>90</v>
      </c>
      <c r="P63" s="2" t="s">
        <v>90</v>
      </c>
      <c r="Q63" s="2" t="s">
        <v>90</v>
      </c>
      <c r="R63" s="2" t="s">
        <v>90</v>
      </c>
      <c r="S63" s="2" t="s">
        <v>90</v>
      </c>
      <c r="T63" s="2" t="s">
        <v>90</v>
      </c>
      <c r="U63" s="48">
        <v>45529.0</v>
      </c>
    </row>
    <row r="64" ht="15.75" customHeight="1">
      <c r="A64" s="2" t="s">
        <v>110</v>
      </c>
      <c r="B64" s="2" t="s">
        <v>16</v>
      </c>
      <c r="C64" s="2" t="s">
        <v>90</v>
      </c>
      <c r="D64" s="2" t="s">
        <v>90</v>
      </c>
      <c r="E64" s="2" t="s">
        <v>16</v>
      </c>
      <c r="F64" s="2" t="s">
        <v>15</v>
      </c>
      <c r="G64" s="2" t="s">
        <v>15</v>
      </c>
      <c r="H64" s="2" t="s">
        <v>90</v>
      </c>
      <c r="I64" s="2" t="s">
        <v>16</v>
      </c>
      <c r="J64" s="2" t="s">
        <v>15</v>
      </c>
      <c r="K64" s="2" t="s">
        <v>90</v>
      </c>
      <c r="L64" s="2" t="s">
        <v>90</v>
      </c>
      <c r="M64" s="2" t="s">
        <v>90</v>
      </c>
      <c r="N64" s="2" t="s">
        <v>90</v>
      </c>
      <c r="O64" s="2" t="s">
        <v>90</v>
      </c>
      <c r="P64" s="2" t="s">
        <v>90</v>
      </c>
      <c r="Q64" s="2" t="s">
        <v>90</v>
      </c>
      <c r="R64" s="2" t="s">
        <v>90</v>
      </c>
      <c r="S64" s="2" t="s">
        <v>16</v>
      </c>
      <c r="T64" s="2" t="s">
        <v>90</v>
      </c>
      <c r="U64" s="48">
        <v>45529.0</v>
      </c>
    </row>
    <row r="65" ht="15.75" customHeight="1">
      <c r="A65" s="2" t="s">
        <v>569</v>
      </c>
      <c r="B65" s="2" t="s">
        <v>17</v>
      </c>
      <c r="C65" s="2" t="s">
        <v>90</v>
      </c>
      <c r="D65" s="2" t="s">
        <v>16</v>
      </c>
      <c r="E65" s="2" t="s">
        <v>90</v>
      </c>
      <c r="F65" s="2" t="s">
        <v>15</v>
      </c>
      <c r="G65" s="2" t="s">
        <v>90</v>
      </c>
      <c r="H65" s="2" t="s">
        <v>90</v>
      </c>
      <c r="I65" s="2" t="s">
        <v>90</v>
      </c>
      <c r="J65" s="2" t="s">
        <v>17</v>
      </c>
      <c r="K65" s="2" t="s">
        <v>90</v>
      </c>
      <c r="L65" s="2" t="s">
        <v>90</v>
      </c>
      <c r="M65" s="2" t="s">
        <v>90</v>
      </c>
      <c r="N65" s="2" t="s">
        <v>90</v>
      </c>
      <c r="O65" s="2" t="s">
        <v>90</v>
      </c>
      <c r="P65" s="2" t="s">
        <v>90</v>
      </c>
      <c r="Q65" s="2" t="s">
        <v>90</v>
      </c>
      <c r="R65" s="2" t="s">
        <v>90</v>
      </c>
      <c r="S65" s="2" t="s">
        <v>90</v>
      </c>
      <c r="T65" s="2" t="s">
        <v>90</v>
      </c>
      <c r="U65" s="48">
        <v>45529.0</v>
      </c>
    </row>
    <row r="66" ht="15.75" customHeight="1">
      <c r="A66" s="2" t="s">
        <v>253</v>
      </c>
      <c r="B66" s="2" t="s">
        <v>15</v>
      </c>
      <c r="C66" s="2" t="s">
        <v>90</v>
      </c>
      <c r="D66" s="2" t="s">
        <v>90</v>
      </c>
      <c r="E66" s="2" t="s">
        <v>90</v>
      </c>
      <c r="F66" s="2" t="s">
        <v>16</v>
      </c>
      <c r="G66" s="2" t="s">
        <v>90</v>
      </c>
      <c r="H66" s="2" t="s">
        <v>90</v>
      </c>
      <c r="I66" s="2" t="s">
        <v>90</v>
      </c>
      <c r="J66" s="2" t="s">
        <v>17</v>
      </c>
      <c r="K66" s="2" t="s">
        <v>90</v>
      </c>
      <c r="L66" s="2" t="s">
        <v>90</v>
      </c>
      <c r="M66" s="2" t="s">
        <v>90</v>
      </c>
      <c r="N66" s="2" t="s">
        <v>90</v>
      </c>
      <c r="O66" s="2" t="s">
        <v>90</v>
      </c>
      <c r="P66" s="2" t="s">
        <v>90</v>
      </c>
      <c r="Q66" s="2" t="s">
        <v>90</v>
      </c>
      <c r="R66" s="2" t="s">
        <v>90</v>
      </c>
      <c r="S66" s="2" t="s">
        <v>90</v>
      </c>
      <c r="T66" s="2" t="s">
        <v>90</v>
      </c>
      <c r="U66" s="48">
        <v>45529.0</v>
      </c>
    </row>
    <row r="67" ht="15.75" customHeight="1">
      <c r="A67" s="2" t="s">
        <v>570</v>
      </c>
      <c r="B67" s="2" t="s">
        <v>15</v>
      </c>
      <c r="C67" s="2" t="s">
        <v>90</v>
      </c>
      <c r="D67" s="2" t="s">
        <v>16</v>
      </c>
      <c r="E67" s="2" t="s">
        <v>15</v>
      </c>
      <c r="F67" s="2" t="s">
        <v>16</v>
      </c>
      <c r="G67" s="2" t="s">
        <v>16</v>
      </c>
      <c r="H67" s="2" t="s">
        <v>16</v>
      </c>
      <c r="I67" s="2" t="s">
        <v>15</v>
      </c>
      <c r="J67" s="2" t="s">
        <v>16</v>
      </c>
      <c r="K67" s="2" t="s">
        <v>90</v>
      </c>
      <c r="L67" s="2" t="s">
        <v>16</v>
      </c>
      <c r="M67" s="2" t="s">
        <v>90</v>
      </c>
      <c r="N67" s="2" t="s">
        <v>90</v>
      </c>
      <c r="O67" s="2" t="s">
        <v>15</v>
      </c>
      <c r="P67" s="2" t="s">
        <v>90</v>
      </c>
      <c r="Q67" s="2" t="s">
        <v>90</v>
      </c>
      <c r="R67" s="2" t="s">
        <v>90</v>
      </c>
      <c r="S67" s="2" t="s">
        <v>15</v>
      </c>
      <c r="T67" s="2" t="s">
        <v>90</v>
      </c>
      <c r="U67" s="48">
        <v>45529.0</v>
      </c>
    </row>
    <row r="68" ht="15.75" customHeight="1">
      <c r="A68" s="2" t="s">
        <v>571</v>
      </c>
      <c r="B68" s="2" t="s">
        <v>89</v>
      </c>
      <c r="C68" s="2" t="s">
        <v>90</v>
      </c>
      <c r="D68" s="2" t="s">
        <v>16</v>
      </c>
      <c r="E68" s="2" t="s">
        <v>16</v>
      </c>
      <c r="F68" s="2" t="s">
        <v>15</v>
      </c>
      <c r="G68" s="2" t="s">
        <v>15</v>
      </c>
      <c r="H68" s="2" t="s">
        <v>89</v>
      </c>
      <c r="I68" s="2" t="s">
        <v>89</v>
      </c>
      <c r="J68" s="2" t="s">
        <v>89</v>
      </c>
      <c r="K68" s="2" t="s">
        <v>90</v>
      </c>
      <c r="L68" s="2" t="s">
        <v>16</v>
      </c>
      <c r="M68" s="2" t="s">
        <v>90</v>
      </c>
      <c r="N68" s="2" t="s">
        <v>90</v>
      </c>
      <c r="O68" s="2" t="s">
        <v>90</v>
      </c>
      <c r="P68" s="2" t="s">
        <v>90</v>
      </c>
      <c r="Q68" s="2" t="s">
        <v>90</v>
      </c>
      <c r="R68" s="2" t="s">
        <v>90</v>
      </c>
      <c r="S68" s="2" t="s">
        <v>89</v>
      </c>
      <c r="T68" s="2" t="s">
        <v>90</v>
      </c>
      <c r="U68" s="48">
        <v>45529.0</v>
      </c>
    </row>
    <row r="69" ht="15.75" customHeight="1">
      <c r="A69" s="2" t="s">
        <v>572</v>
      </c>
      <c r="B69" s="2" t="s">
        <v>15</v>
      </c>
      <c r="C69" s="2" t="s">
        <v>90</v>
      </c>
      <c r="D69" s="2" t="s">
        <v>16</v>
      </c>
      <c r="E69" s="2" t="s">
        <v>90</v>
      </c>
      <c r="F69" s="2" t="s">
        <v>17</v>
      </c>
      <c r="G69" s="2" t="s">
        <v>90</v>
      </c>
      <c r="H69" s="2" t="s">
        <v>90</v>
      </c>
      <c r="I69" s="2" t="s">
        <v>89</v>
      </c>
      <c r="J69" s="2" t="s">
        <v>89</v>
      </c>
      <c r="K69" s="2" t="s">
        <v>90</v>
      </c>
      <c r="L69" s="2" t="s">
        <v>90</v>
      </c>
      <c r="M69" s="2" t="s">
        <v>90</v>
      </c>
      <c r="N69" s="2" t="s">
        <v>90</v>
      </c>
      <c r="O69" s="2" t="s">
        <v>90</v>
      </c>
      <c r="P69" s="2" t="s">
        <v>90</v>
      </c>
      <c r="Q69" s="2" t="s">
        <v>90</v>
      </c>
      <c r="R69" s="2" t="s">
        <v>90</v>
      </c>
      <c r="S69" s="2" t="s">
        <v>90</v>
      </c>
      <c r="T69" s="2" t="s">
        <v>90</v>
      </c>
      <c r="U69" s="48">
        <v>45529.0</v>
      </c>
    </row>
    <row r="70" ht="15.75" customHeight="1">
      <c r="A70" s="2" t="s">
        <v>573</v>
      </c>
      <c r="B70" s="2" t="s">
        <v>90</v>
      </c>
      <c r="C70" s="2" t="s">
        <v>90</v>
      </c>
      <c r="D70" s="2" t="s">
        <v>16</v>
      </c>
      <c r="E70" s="2" t="s">
        <v>90</v>
      </c>
      <c r="F70" s="2" t="s">
        <v>90</v>
      </c>
      <c r="G70" s="2" t="s">
        <v>90</v>
      </c>
      <c r="H70" s="2" t="s">
        <v>17</v>
      </c>
      <c r="I70" s="2" t="s">
        <v>15</v>
      </c>
      <c r="J70" s="2" t="s">
        <v>90</v>
      </c>
      <c r="K70" s="2" t="s">
        <v>90</v>
      </c>
      <c r="L70" s="2" t="s">
        <v>90</v>
      </c>
      <c r="M70" s="2" t="s">
        <v>90</v>
      </c>
      <c r="N70" s="2" t="s">
        <v>90</v>
      </c>
      <c r="O70" s="2" t="s">
        <v>90</v>
      </c>
      <c r="P70" s="2" t="s">
        <v>90</v>
      </c>
      <c r="Q70" s="2" t="s">
        <v>90</v>
      </c>
      <c r="R70" s="2" t="s">
        <v>90</v>
      </c>
      <c r="S70" s="2" t="s">
        <v>90</v>
      </c>
      <c r="T70" s="2" t="s">
        <v>90</v>
      </c>
      <c r="U70" s="48">
        <v>45529.0</v>
      </c>
    </row>
    <row r="71" ht="15.75" customHeight="1">
      <c r="A71" s="2" t="s">
        <v>574</v>
      </c>
      <c r="B71" s="2" t="s">
        <v>15</v>
      </c>
      <c r="C71" s="2" t="s">
        <v>90</v>
      </c>
      <c r="D71" s="2" t="s">
        <v>90</v>
      </c>
      <c r="E71" s="2" t="s">
        <v>90</v>
      </c>
      <c r="F71" s="2" t="s">
        <v>16</v>
      </c>
      <c r="G71" s="2" t="s">
        <v>90</v>
      </c>
      <c r="H71" s="2" t="s">
        <v>90</v>
      </c>
      <c r="I71" s="2" t="s">
        <v>90</v>
      </c>
      <c r="J71" s="2" t="s">
        <v>17</v>
      </c>
      <c r="K71" s="2" t="s">
        <v>90</v>
      </c>
      <c r="L71" s="2" t="s">
        <v>90</v>
      </c>
      <c r="M71" s="2" t="s">
        <v>90</v>
      </c>
      <c r="N71" s="2" t="s">
        <v>90</v>
      </c>
      <c r="O71" s="2" t="s">
        <v>90</v>
      </c>
      <c r="P71" s="2" t="s">
        <v>90</v>
      </c>
      <c r="Q71" s="2" t="s">
        <v>90</v>
      </c>
      <c r="R71" s="2" t="s">
        <v>90</v>
      </c>
      <c r="S71" s="2" t="s">
        <v>90</v>
      </c>
      <c r="T71" s="2" t="s">
        <v>90</v>
      </c>
      <c r="U71" s="48">
        <v>45529.0</v>
      </c>
    </row>
    <row r="72" ht="15.75" customHeight="1">
      <c r="A72" s="2" t="s">
        <v>575</v>
      </c>
      <c r="B72" s="2" t="s">
        <v>16</v>
      </c>
      <c r="C72" s="2" t="s">
        <v>90</v>
      </c>
      <c r="D72" s="2" t="s">
        <v>90</v>
      </c>
      <c r="E72" s="2" t="s">
        <v>90</v>
      </c>
      <c r="F72" s="2" t="s">
        <v>15</v>
      </c>
      <c r="G72" s="2" t="s">
        <v>90</v>
      </c>
      <c r="H72" s="2" t="s">
        <v>90</v>
      </c>
      <c r="I72" s="2" t="s">
        <v>90</v>
      </c>
      <c r="J72" s="2" t="s">
        <v>17</v>
      </c>
      <c r="K72" s="2" t="s">
        <v>90</v>
      </c>
      <c r="L72" s="2" t="s">
        <v>90</v>
      </c>
      <c r="M72" s="2" t="s">
        <v>90</v>
      </c>
      <c r="N72" s="2" t="s">
        <v>90</v>
      </c>
      <c r="O72" s="2" t="s">
        <v>90</v>
      </c>
      <c r="P72" s="2" t="s">
        <v>90</v>
      </c>
      <c r="Q72" s="2" t="s">
        <v>90</v>
      </c>
      <c r="R72" s="2" t="s">
        <v>90</v>
      </c>
      <c r="S72" s="2" t="s">
        <v>90</v>
      </c>
      <c r="T72" s="2" t="s">
        <v>90</v>
      </c>
      <c r="U72" s="48">
        <v>45529.0</v>
      </c>
    </row>
    <row r="73" ht="15.75" customHeight="1">
      <c r="A73" s="2" t="s">
        <v>23</v>
      </c>
      <c r="B73" s="2" t="s">
        <v>16</v>
      </c>
      <c r="C73" s="2" t="s">
        <v>90</v>
      </c>
      <c r="D73" s="2" t="s">
        <v>90</v>
      </c>
      <c r="E73" s="2" t="s">
        <v>17</v>
      </c>
      <c r="F73" s="2" t="s">
        <v>89</v>
      </c>
      <c r="G73" s="2" t="s">
        <v>15</v>
      </c>
      <c r="H73" s="2" t="s">
        <v>90</v>
      </c>
      <c r="I73" s="2" t="s">
        <v>90</v>
      </c>
      <c r="J73" s="2" t="s">
        <v>89</v>
      </c>
      <c r="K73" s="2" t="s">
        <v>90</v>
      </c>
      <c r="L73" s="2" t="s">
        <v>90</v>
      </c>
      <c r="M73" s="2" t="s">
        <v>90</v>
      </c>
      <c r="N73" s="2" t="s">
        <v>90</v>
      </c>
      <c r="O73" s="2" t="s">
        <v>90</v>
      </c>
      <c r="P73" s="2" t="s">
        <v>90</v>
      </c>
      <c r="Q73" s="2" t="s">
        <v>90</v>
      </c>
      <c r="R73" s="2" t="s">
        <v>90</v>
      </c>
      <c r="S73" s="2" t="s">
        <v>89</v>
      </c>
      <c r="T73" s="2" t="s">
        <v>90</v>
      </c>
      <c r="U73" s="48">
        <v>45529.0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2.75" customHeight="1">
      <c r="A100" s="2" t="s">
        <v>89</v>
      </c>
      <c r="B100" s="3">
        <f t="array" ref="B100">SUM(IF(B2:B99="v",1))</f>
        <v>6</v>
      </c>
      <c r="C100" s="3">
        <f t="array" ref="C100">SUM(IF(C2:C99="v",1))</f>
        <v>0</v>
      </c>
      <c r="D100" s="3">
        <f t="array" ref="D100">SUM(IF(D2:D99="v",1))</f>
        <v>23</v>
      </c>
      <c r="E100" s="3">
        <f t="array" ref="E100">SUM(IF(E2:E99="v",1))</f>
        <v>0</v>
      </c>
      <c r="F100" s="3">
        <f t="array" ref="F100">SUM(IF(F2:F99="v",1))</f>
        <v>6</v>
      </c>
      <c r="G100" s="3">
        <f t="array" ref="G100">SUM(IF(G2:G99="v",1))</f>
        <v>12</v>
      </c>
      <c r="H100" s="3">
        <f t="array" ref="H100">SUM(IF(H2:H99="v",1))</f>
        <v>18</v>
      </c>
      <c r="I100" s="3">
        <f t="array" ref="I100">SUM(IF(I2:I99="v",1))</f>
        <v>19</v>
      </c>
      <c r="J100" s="3">
        <f t="array" ref="J100">SUM(IF(J2:J99="v",1))</f>
        <v>22</v>
      </c>
      <c r="K100" s="3">
        <f t="array" ref="K100">SUM(IF(K2:K99="v",1))</f>
        <v>0</v>
      </c>
      <c r="L100" s="3">
        <f t="array" ref="L100">SUM(IF(L2:L99="v",1))</f>
        <v>5</v>
      </c>
      <c r="M100" s="3">
        <f t="array" ref="M100">SUM(IF(M2:M99="v",1))</f>
        <v>0</v>
      </c>
      <c r="N100" s="3">
        <f t="array" ref="N100">SUM(IF(N2:N99="v",1))</f>
        <v>0</v>
      </c>
      <c r="O100" s="3">
        <f t="array" ref="O100">SUM(IF(O2:O99="v",1))</f>
        <v>0</v>
      </c>
      <c r="P100" s="3">
        <f t="array" ref="P100">SUM(IF(P2:P99="v",1))</f>
        <v>0</v>
      </c>
      <c r="Q100" s="3">
        <f t="array" ref="Q100">SUM(IF(Q2:Q99="v",1))</f>
        <v>0</v>
      </c>
      <c r="R100" s="3">
        <f t="array" ref="R100">SUM(IF(R2:R99="v",1))</f>
        <v>0</v>
      </c>
      <c r="S100" s="3">
        <f t="array" ref="S100">SUM(IF(S2:S99="v",1))</f>
        <v>3</v>
      </c>
      <c r="T100" s="3">
        <f t="array" ref="T100">SUM(IF(T2:T99="v",1))</f>
        <v>0</v>
      </c>
      <c r="U100" s="38" t="s">
        <v>89</v>
      </c>
    </row>
    <row r="101" ht="12.75" customHeight="1">
      <c r="A101" s="2" t="s">
        <v>90</v>
      </c>
      <c r="B101" s="3">
        <f t="array" ref="B101">SUM(IF(B2:B99="x",1))</f>
        <v>15</v>
      </c>
      <c r="C101" s="3">
        <f t="array" ref="C101">SUM(IF(C2:C99="x",1))</f>
        <v>72</v>
      </c>
      <c r="D101" s="3">
        <f t="array" ref="D101">SUM(IF(D2:D99="x",1))</f>
        <v>12</v>
      </c>
      <c r="E101" s="3">
        <f t="array" ref="E101">SUM(IF(E2:E99="x",1))</f>
        <v>66</v>
      </c>
      <c r="F101" s="3">
        <f t="array" ref="F101">SUM(IF(F2:F99="x",1))</f>
        <v>1</v>
      </c>
      <c r="G101" s="3">
        <f t="array" ref="G101">SUM(IF(G2:G99="x",1))</f>
        <v>38</v>
      </c>
      <c r="H101" s="3">
        <f t="array" ref="H101">SUM(IF(H2:H99="x",1))</f>
        <v>22</v>
      </c>
      <c r="I101" s="3">
        <f t="array" ref="I101">SUM(IF(I2:I99="x",1))</f>
        <v>17</v>
      </c>
      <c r="J101" s="3">
        <f t="array" ref="J101">SUM(IF(J2:J99="x",1))</f>
        <v>2</v>
      </c>
      <c r="K101" s="3">
        <f t="array" ref="K101">SUM(IF(K2:K99="x",1))</f>
        <v>72</v>
      </c>
      <c r="L101" s="3">
        <f t="array" ref="L101">SUM(IF(L2:L99="x",1))</f>
        <v>62</v>
      </c>
      <c r="M101" s="3">
        <f t="array" ref="M101">SUM(IF(M2:M99="x",1))</f>
        <v>72</v>
      </c>
      <c r="N101" s="3">
        <f t="array" ref="N101">SUM(IF(N2:N99="x",1))</f>
        <v>72</v>
      </c>
      <c r="O101" s="3">
        <f t="array" ref="O101">SUM(IF(O2:O99="x",1))</f>
        <v>71</v>
      </c>
      <c r="P101" s="3">
        <f t="array" ref="P101">SUM(IF(P2:P99="x",1))</f>
        <v>72</v>
      </c>
      <c r="Q101" s="3">
        <f t="array" ref="Q101">SUM(IF(Q2:Q99="x",1))</f>
        <v>72</v>
      </c>
      <c r="R101" s="3">
        <f t="array" ref="R101">SUM(IF(R2:R99="x",1))</f>
        <v>72</v>
      </c>
      <c r="S101" s="3">
        <f t="array" ref="S101">SUM(IF(S2:S99="x",1))</f>
        <v>67</v>
      </c>
      <c r="T101" s="3">
        <f t="array" ref="T101">SUM(IF(T2:T99="x",1))</f>
        <v>72</v>
      </c>
      <c r="U101" s="38" t="s">
        <v>90</v>
      </c>
    </row>
    <row r="102" ht="12.75" customHeight="1">
      <c r="A102" s="2" t="s">
        <v>128</v>
      </c>
      <c r="B102" s="3">
        <f t="shared" ref="B102:T102" si="1">B100+B103+B104+B105</f>
        <v>57</v>
      </c>
      <c r="C102" s="3">
        <f t="shared" si="1"/>
        <v>0</v>
      </c>
      <c r="D102" s="3">
        <f t="shared" si="1"/>
        <v>60</v>
      </c>
      <c r="E102" s="3">
        <f t="shared" si="1"/>
        <v>6</v>
      </c>
      <c r="F102" s="3">
        <f t="shared" si="1"/>
        <v>71</v>
      </c>
      <c r="G102" s="3">
        <f t="shared" si="1"/>
        <v>34</v>
      </c>
      <c r="H102" s="3">
        <f t="shared" si="1"/>
        <v>50</v>
      </c>
      <c r="I102" s="3">
        <f t="shared" si="1"/>
        <v>55</v>
      </c>
      <c r="J102" s="3">
        <f t="shared" si="1"/>
        <v>70</v>
      </c>
      <c r="K102" s="3">
        <f t="shared" si="1"/>
        <v>0</v>
      </c>
      <c r="L102" s="3">
        <f t="shared" si="1"/>
        <v>10</v>
      </c>
      <c r="M102" s="3">
        <f t="shared" si="1"/>
        <v>0</v>
      </c>
      <c r="N102" s="3">
        <f t="shared" si="1"/>
        <v>0</v>
      </c>
      <c r="O102" s="3">
        <f t="shared" si="1"/>
        <v>1</v>
      </c>
      <c r="P102" s="3">
        <f t="shared" si="1"/>
        <v>0</v>
      </c>
      <c r="Q102" s="3">
        <f t="shared" si="1"/>
        <v>0</v>
      </c>
      <c r="R102" s="3">
        <f t="shared" si="1"/>
        <v>0</v>
      </c>
      <c r="S102" s="3">
        <f t="shared" si="1"/>
        <v>5</v>
      </c>
      <c r="T102" s="3">
        <f t="shared" si="1"/>
        <v>0</v>
      </c>
      <c r="U102" s="38" t="s">
        <v>128</v>
      </c>
    </row>
    <row r="103" ht="12.75" customHeight="1">
      <c r="A103" s="2" t="s">
        <v>17</v>
      </c>
      <c r="B103" s="3">
        <f t="array" ref="B103">SUM(IF(B$2:B$99=$A103,1))</f>
        <v>8</v>
      </c>
      <c r="C103" s="3">
        <f t="array" ref="C103">SUM(IF(C$2:C$99=$A103,1))</f>
        <v>0</v>
      </c>
      <c r="D103" s="3">
        <f t="array" ref="D103">SUM(IF(D$2:D$99=$A103,1))</f>
        <v>8</v>
      </c>
      <c r="E103" s="3">
        <f t="array" ref="E103">SUM(IF(E$2:E$99=$A103,1))</f>
        <v>3</v>
      </c>
      <c r="F103" s="3">
        <f t="array" ref="F103">SUM(IF(F$2:F$99=$A103,1))</f>
        <v>4</v>
      </c>
      <c r="G103" s="3">
        <f t="array" ref="G103">SUM(IF(G$2:G$99=$A103,1))</f>
        <v>3</v>
      </c>
      <c r="H103" s="3">
        <f t="array" ref="H103">SUM(IF(H$2:H$99=$A103,1))</f>
        <v>12</v>
      </c>
      <c r="I103" s="3">
        <f t="array" ref="I103">SUM(IF(I$2:I$99=$A103,1))</f>
        <v>8</v>
      </c>
      <c r="J103" s="3">
        <f t="array" ref="J103">SUM(IF(J$2:J$99=$A103,1))</f>
        <v>14</v>
      </c>
      <c r="K103" s="3">
        <f t="array" ref="K103">SUM(IF(K$2:K$99=$A103,1))</f>
        <v>0</v>
      </c>
      <c r="L103" s="3">
        <f t="array" ref="L103">SUM(IF(L$2:L$99=$A103,1))</f>
        <v>2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  <c r="Q103" s="3">
        <f t="array" ref="Q103">SUM(IF(Q$2:Q$99=$A103,1))</f>
        <v>0</v>
      </c>
      <c r="R103" s="3">
        <f t="array" ref="R103">SUM(IF(R$2:R$99=$A103,1))</f>
        <v>0</v>
      </c>
      <c r="S103" s="3">
        <f t="array" ref="S103">SUM(IF(S$2:S$99=$A103,1))</f>
        <v>0</v>
      </c>
      <c r="T103" s="3">
        <f t="array" ref="T103">SUM(IF(T$2:T$99=$A103,1))</f>
        <v>0</v>
      </c>
      <c r="U103" s="38" t="s">
        <v>17</v>
      </c>
    </row>
    <row r="104" ht="12.75" customHeight="1">
      <c r="A104" s="2" t="s">
        <v>15</v>
      </c>
      <c r="B104" s="3">
        <f t="array" ref="B104">SUM(IF(B$2:B$99=$A104,1))</f>
        <v>20</v>
      </c>
      <c r="C104" s="3">
        <f t="array" ref="C104">SUM(IF(C$2:C$99=$A104,1))</f>
        <v>0</v>
      </c>
      <c r="D104" s="3">
        <f t="array" ref="D104">SUM(IF(D$2:D$99=$A104,1))</f>
        <v>9</v>
      </c>
      <c r="E104" s="3">
        <f t="array" ref="E104">SUM(IF(E$2:E$99=$A104,1))</f>
        <v>1</v>
      </c>
      <c r="F104" s="3">
        <f t="array" ref="F104">SUM(IF(F$2:F$99=$A104,1))</f>
        <v>17</v>
      </c>
      <c r="G104" s="3">
        <f t="array" ref="G104">SUM(IF(G$2:G$99=$A104,1))</f>
        <v>16</v>
      </c>
      <c r="H104" s="3">
        <f t="array" ref="H104">SUM(IF(H$2:H$99=$A104,1))</f>
        <v>11</v>
      </c>
      <c r="I104" s="3">
        <f t="array" ref="I104">SUM(IF(I$2:I$99=$A104,1))</f>
        <v>19</v>
      </c>
      <c r="J104" s="3">
        <f t="array" ref="J104">SUM(IF(J$2:J$99=$A104,1))</f>
        <v>21</v>
      </c>
      <c r="K104" s="3">
        <f t="array" ref="K104">SUM(IF(K$2:K$99=$A104,1))</f>
        <v>0</v>
      </c>
      <c r="L104" s="3">
        <f t="array" ref="L104">SUM(IF(L$2:L$99=$A104,1))</f>
        <v>1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1</v>
      </c>
      <c r="P104" s="3">
        <f t="array" ref="P104">SUM(IF(P$2:P$99=$A104,1))</f>
        <v>0</v>
      </c>
      <c r="Q104" s="3">
        <f t="array" ref="Q104">SUM(IF(Q$2:Q$99=$A104,1))</f>
        <v>0</v>
      </c>
      <c r="R104" s="3">
        <f t="array" ref="R104">SUM(IF(R$2:R$99=$A104,1))</f>
        <v>0</v>
      </c>
      <c r="S104" s="3">
        <f t="array" ref="S104">SUM(IF(S$2:S$99=$A104,1))</f>
        <v>1</v>
      </c>
      <c r="T104" s="3">
        <f t="array" ref="T104">SUM(IF(T$2:T$99=$A104,1))</f>
        <v>0</v>
      </c>
      <c r="U104" s="38" t="s">
        <v>15</v>
      </c>
    </row>
    <row r="105" ht="12.75" customHeight="1">
      <c r="A105" s="2" t="s">
        <v>16</v>
      </c>
      <c r="B105" s="3">
        <f t="array" ref="B105">SUM(IF(B$2:B$99=$A105,1))</f>
        <v>23</v>
      </c>
      <c r="C105" s="3">
        <f t="array" ref="C105">SUM(IF(C$2:C$99=$A105,1))</f>
        <v>0</v>
      </c>
      <c r="D105" s="3">
        <f t="array" ref="D105">SUM(IF(D$2:D$99=$A105,1))</f>
        <v>20</v>
      </c>
      <c r="E105" s="3">
        <f t="array" ref="E105">SUM(IF(E$2:E$99=$A105,1))</f>
        <v>2</v>
      </c>
      <c r="F105" s="3">
        <f t="array" ref="F105">SUM(IF(F$2:F$99=$A105,1))</f>
        <v>44</v>
      </c>
      <c r="G105" s="3">
        <f t="array" ref="G105">SUM(IF(G$2:G$99=$A105,1))</f>
        <v>3</v>
      </c>
      <c r="H105" s="3">
        <f t="array" ref="H105">SUM(IF(H$2:H$99=$A105,1))</f>
        <v>9</v>
      </c>
      <c r="I105" s="3">
        <f t="array" ref="I105">SUM(IF(I$2:I$99=$A105,1))</f>
        <v>9</v>
      </c>
      <c r="J105" s="3">
        <f t="array" ref="J105">SUM(IF(J$2:J$99=$A105,1))</f>
        <v>13</v>
      </c>
      <c r="K105" s="3">
        <f t="array" ref="K105">SUM(IF(K$2:K$99=$A105,1))</f>
        <v>0</v>
      </c>
      <c r="L105" s="3">
        <f t="array" ref="L105">SUM(IF(L$2:L$99=$A105,1))</f>
        <v>2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0</v>
      </c>
      <c r="P105" s="3">
        <f t="array" ref="P105">SUM(IF(P$2:P$99=$A105,1))</f>
        <v>0</v>
      </c>
      <c r="Q105" s="3">
        <f t="array" ref="Q105">SUM(IF(Q$2:Q$99=$A105,1))</f>
        <v>0</v>
      </c>
      <c r="R105" s="3">
        <f t="array" ref="R105">SUM(IF(R$2:R$99=$A105,1))</f>
        <v>0</v>
      </c>
      <c r="S105" s="3">
        <f t="array" ref="S105">SUM(IF(S$2:S$99=$A105,1))</f>
        <v>1</v>
      </c>
      <c r="T105" s="3">
        <f t="array" ref="T105">SUM(IF(T$2:T$99=$A105,1))</f>
        <v>0</v>
      </c>
      <c r="U105" s="38" t="s">
        <v>16</v>
      </c>
    </row>
    <row r="106" ht="12.75" customHeight="1">
      <c r="A106" s="4" t="s">
        <v>129</v>
      </c>
      <c r="B106" s="4">
        <f t="shared" ref="B106:T106" si="2">B103+B104*2+B105*3</f>
        <v>117</v>
      </c>
      <c r="C106" s="4">
        <f t="shared" si="2"/>
        <v>0</v>
      </c>
      <c r="D106" s="4">
        <f t="shared" si="2"/>
        <v>86</v>
      </c>
      <c r="E106" s="4">
        <f t="shared" si="2"/>
        <v>11</v>
      </c>
      <c r="F106" s="4">
        <f t="shared" si="2"/>
        <v>170</v>
      </c>
      <c r="G106" s="4">
        <f t="shared" si="2"/>
        <v>44</v>
      </c>
      <c r="H106" s="4">
        <f t="shared" si="2"/>
        <v>61</v>
      </c>
      <c r="I106" s="4">
        <f t="shared" si="2"/>
        <v>73</v>
      </c>
      <c r="J106" s="4">
        <f t="shared" si="2"/>
        <v>95</v>
      </c>
      <c r="K106" s="4">
        <f t="shared" si="2"/>
        <v>0</v>
      </c>
      <c r="L106" s="4">
        <f t="shared" si="2"/>
        <v>10</v>
      </c>
      <c r="M106" s="4">
        <f t="shared" si="2"/>
        <v>0</v>
      </c>
      <c r="N106" s="4">
        <f t="shared" si="2"/>
        <v>0</v>
      </c>
      <c r="O106" s="4">
        <f t="shared" si="2"/>
        <v>2</v>
      </c>
      <c r="P106" s="4">
        <f t="shared" si="2"/>
        <v>0</v>
      </c>
      <c r="Q106" s="4">
        <f t="shared" si="2"/>
        <v>0</v>
      </c>
      <c r="R106" s="4">
        <f t="shared" si="2"/>
        <v>0</v>
      </c>
      <c r="S106" s="4">
        <f t="shared" si="2"/>
        <v>5</v>
      </c>
      <c r="T106" s="4">
        <f t="shared" si="2"/>
        <v>0</v>
      </c>
      <c r="U106" s="39" t="s">
        <v>129</v>
      </c>
    </row>
    <row r="107" ht="12.75" customHeight="1">
      <c r="A107" s="2" t="s">
        <v>130</v>
      </c>
      <c r="B107" s="11">
        <f t="shared" ref="B107:T107" si="3">IF(B100+B103+B104+B105&lt;&gt;0,B106/(B100+B103+B104+B105),0)</f>
        <v>2.052631579</v>
      </c>
      <c r="C107" s="11">
        <f t="shared" si="3"/>
        <v>0</v>
      </c>
      <c r="D107" s="11">
        <f t="shared" si="3"/>
        <v>1.433333333</v>
      </c>
      <c r="E107" s="11">
        <f t="shared" si="3"/>
        <v>1.833333333</v>
      </c>
      <c r="F107" s="11">
        <f t="shared" si="3"/>
        <v>2.394366197</v>
      </c>
      <c r="G107" s="11">
        <f t="shared" si="3"/>
        <v>1.294117647</v>
      </c>
      <c r="H107" s="11">
        <f t="shared" si="3"/>
        <v>1.22</v>
      </c>
      <c r="I107" s="11">
        <f t="shared" si="3"/>
        <v>1.327272727</v>
      </c>
      <c r="J107" s="11">
        <f t="shared" si="3"/>
        <v>1.357142857</v>
      </c>
      <c r="K107" s="11">
        <f t="shared" si="3"/>
        <v>0</v>
      </c>
      <c r="L107" s="11">
        <f t="shared" si="3"/>
        <v>1</v>
      </c>
      <c r="M107" s="11">
        <f t="shared" si="3"/>
        <v>0</v>
      </c>
      <c r="N107" s="11">
        <f t="shared" si="3"/>
        <v>0</v>
      </c>
      <c r="O107" s="11">
        <f t="shared" si="3"/>
        <v>2</v>
      </c>
      <c r="P107" s="11">
        <f t="shared" si="3"/>
        <v>0</v>
      </c>
      <c r="Q107" s="11">
        <f t="shared" si="3"/>
        <v>0</v>
      </c>
      <c r="R107" s="11">
        <f t="shared" si="3"/>
        <v>0</v>
      </c>
      <c r="S107" s="11">
        <f t="shared" si="3"/>
        <v>1</v>
      </c>
      <c r="T107" s="11">
        <f t="shared" si="3"/>
        <v>0</v>
      </c>
      <c r="U107" s="38" t="s">
        <v>130</v>
      </c>
    </row>
    <row r="108" ht="12.75" customHeight="1">
      <c r="A108" s="2" t="s">
        <v>363</v>
      </c>
      <c r="B108" s="2">
        <f t="shared" ref="B108:T108" si="4">B105+B104+B103</f>
        <v>51</v>
      </c>
      <c r="C108" s="2">
        <f t="shared" si="4"/>
        <v>0</v>
      </c>
      <c r="D108" s="2">
        <f t="shared" si="4"/>
        <v>37</v>
      </c>
      <c r="E108" s="2">
        <f t="shared" si="4"/>
        <v>6</v>
      </c>
      <c r="F108" s="2">
        <f t="shared" si="4"/>
        <v>65</v>
      </c>
      <c r="G108" s="2">
        <f t="shared" si="4"/>
        <v>22</v>
      </c>
      <c r="H108" s="2">
        <f t="shared" si="4"/>
        <v>32</v>
      </c>
      <c r="I108" s="2">
        <f t="shared" si="4"/>
        <v>36</v>
      </c>
      <c r="J108" s="2">
        <f t="shared" si="4"/>
        <v>48</v>
      </c>
      <c r="K108" s="2">
        <f t="shared" si="4"/>
        <v>0</v>
      </c>
      <c r="L108" s="2">
        <f t="shared" si="4"/>
        <v>5</v>
      </c>
      <c r="M108" s="2">
        <f t="shared" si="4"/>
        <v>0</v>
      </c>
      <c r="N108" s="2">
        <f t="shared" si="4"/>
        <v>0</v>
      </c>
      <c r="O108" s="2">
        <f t="shared" si="4"/>
        <v>1</v>
      </c>
      <c r="P108" s="2">
        <f t="shared" si="4"/>
        <v>0</v>
      </c>
      <c r="Q108" s="2">
        <f t="shared" si="4"/>
        <v>0</v>
      </c>
      <c r="R108" s="2">
        <f t="shared" si="4"/>
        <v>0</v>
      </c>
      <c r="S108" s="2">
        <f t="shared" si="4"/>
        <v>2</v>
      </c>
      <c r="T108" s="2">
        <f t="shared" si="4"/>
        <v>0</v>
      </c>
      <c r="U108" s="38" t="s">
        <v>363</v>
      </c>
    </row>
    <row r="109" ht="12.75" customHeight="1">
      <c r="A109" s="2" t="s">
        <v>131</v>
      </c>
      <c r="B109" s="3">
        <f t="shared" ref="B109:T109" si="5">B102+B101</f>
        <v>72</v>
      </c>
      <c r="C109" s="3">
        <f t="shared" si="5"/>
        <v>72</v>
      </c>
      <c r="D109" s="3">
        <f t="shared" si="5"/>
        <v>72</v>
      </c>
      <c r="E109" s="3">
        <f t="shared" si="5"/>
        <v>72</v>
      </c>
      <c r="F109" s="3">
        <f t="shared" si="5"/>
        <v>72</v>
      </c>
      <c r="G109" s="3">
        <f t="shared" si="5"/>
        <v>72</v>
      </c>
      <c r="H109" s="3">
        <f t="shared" si="5"/>
        <v>72</v>
      </c>
      <c r="I109" s="3">
        <f t="shared" si="5"/>
        <v>72</v>
      </c>
      <c r="J109" s="3">
        <f t="shared" si="5"/>
        <v>72</v>
      </c>
      <c r="K109" s="3">
        <f t="shared" si="5"/>
        <v>72</v>
      </c>
      <c r="L109" s="3">
        <f t="shared" si="5"/>
        <v>72</v>
      </c>
      <c r="M109" s="3">
        <f t="shared" si="5"/>
        <v>72</v>
      </c>
      <c r="N109" s="3">
        <f t="shared" si="5"/>
        <v>72</v>
      </c>
      <c r="O109" s="3">
        <f t="shared" si="5"/>
        <v>72</v>
      </c>
      <c r="P109" s="3">
        <f t="shared" si="5"/>
        <v>72</v>
      </c>
      <c r="Q109" s="3">
        <f t="shared" si="5"/>
        <v>72</v>
      </c>
      <c r="R109" s="3">
        <f t="shared" si="5"/>
        <v>72</v>
      </c>
      <c r="S109" s="3">
        <f t="shared" si="5"/>
        <v>72</v>
      </c>
      <c r="T109" s="3">
        <f t="shared" si="5"/>
        <v>72</v>
      </c>
      <c r="U109" s="38" t="s">
        <v>131</v>
      </c>
    </row>
    <row r="110" ht="15.75" customHeight="1">
      <c r="U110" s="38"/>
    </row>
    <row r="111" ht="15.75" customHeight="1">
      <c r="A111" s="2" t="s">
        <v>132</v>
      </c>
      <c r="B111" s="3">
        <f>B106+G106+J106+I106</f>
        <v>329</v>
      </c>
      <c r="D111" s="2" t="s">
        <v>544</v>
      </c>
      <c r="E111" s="12">
        <f>B106+G106</f>
        <v>161</v>
      </c>
      <c r="G111" s="2" t="s">
        <v>134</v>
      </c>
      <c r="H111" s="3">
        <f>I106+J106</f>
        <v>168</v>
      </c>
      <c r="J111" s="2" t="s">
        <v>135</v>
      </c>
      <c r="K111" s="3">
        <f>B102+G102+I102+J102</f>
        <v>216</v>
      </c>
      <c r="M111" s="2" t="s">
        <v>136</v>
      </c>
      <c r="N111" s="11">
        <f t="shared" ref="N111:N113" si="6">B111/K111</f>
        <v>1.523148148</v>
      </c>
      <c r="U111" s="38"/>
    </row>
    <row r="112" ht="15.75" customHeight="1">
      <c r="A112" s="2" t="s">
        <v>137</v>
      </c>
      <c r="B112" s="3">
        <f>C106+E106+H106+L106+M106</f>
        <v>82</v>
      </c>
      <c r="D112" s="2" t="s">
        <v>138</v>
      </c>
      <c r="E112" s="3">
        <f>M106+L106</f>
        <v>10</v>
      </c>
      <c r="G112" s="2" t="s">
        <v>139</v>
      </c>
      <c r="H112" s="3">
        <f>C106+E106+H106</f>
        <v>72</v>
      </c>
      <c r="J112" s="2" t="s">
        <v>135</v>
      </c>
      <c r="K112" s="3">
        <f>C102+E102+H102+L102+M102</f>
        <v>66</v>
      </c>
      <c r="M112" s="2" t="s">
        <v>136</v>
      </c>
      <c r="N112" s="11">
        <f t="shared" si="6"/>
        <v>1.242424242</v>
      </c>
      <c r="U112" s="38"/>
    </row>
    <row r="113" ht="15.75" customHeight="1">
      <c r="A113" s="2" t="s">
        <v>140</v>
      </c>
      <c r="B113" s="3">
        <f>D106+F106+K106+N106</f>
        <v>256</v>
      </c>
      <c r="D113" s="2" t="s">
        <v>141</v>
      </c>
      <c r="E113" s="3">
        <f>K106+N106</f>
        <v>0</v>
      </c>
      <c r="G113" s="2" t="s">
        <v>142</v>
      </c>
      <c r="H113" s="3">
        <f>D106+F106</f>
        <v>256</v>
      </c>
      <c r="J113" s="2" t="s">
        <v>135</v>
      </c>
      <c r="K113" s="3">
        <f>D102+F102+K102+N102</f>
        <v>131</v>
      </c>
      <c r="M113" s="2" t="s">
        <v>136</v>
      </c>
      <c r="N113" s="11">
        <f t="shared" si="6"/>
        <v>1.954198473</v>
      </c>
      <c r="U113" s="38"/>
    </row>
    <row r="114" ht="15.75" customHeight="1">
      <c r="U114" s="38"/>
    </row>
    <row r="115" ht="15.75" customHeight="1">
      <c r="A115" s="20"/>
      <c r="B115" s="3" t="str">
        <f t="shared" ref="B115:R115" si="7">B1</f>
        <v>David</v>
      </c>
      <c r="C115" s="3" t="str">
        <f t="shared" si="7"/>
        <v>Carlos</v>
      </c>
      <c r="D115" s="3" t="str">
        <f t="shared" si="7"/>
        <v>Laura</v>
      </c>
      <c r="E115" s="3" t="str">
        <f t="shared" si="7"/>
        <v>Jorge</v>
      </c>
      <c r="F115" s="3" t="str">
        <f t="shared" si="7"/>
        <v>Sergio</v>
      </c>
      <c r="G115" s="3" t="str">
        <f t="shared" si="7"/>
        <v>Poli</v>
      </c>
      <c r="H115" s="3" t="str">
        <f t="shared" si="7"/>
        <v>Nuria</v>
      </c>
      <c r="I115" s="3" t="str">
        <f t="shared" si="7"/>
        <v>Sara</v>
      </c>
      <c r="J115" s="3" t="str">
        <f t="shared" si="7"/>
        <v>Dario</v>
      </c>
      <c r="K115" s="3" t="str">
        <f t="shared" si="7"/>
        <v>Pedro</v>
      </c>
      <c r="L115" s="3" t="str">
        <f t="shared" si="7"/>
        <v>Inés</v>
      </c>
      <c r="M115" s="3" t="str">
        <f t="shared" si="7"/>
        <v>Chema</v>
      </c>
      <c r="N115" s="3" t="str">
        <f t="shared" si="7"/>
        <v>Maite</v>
      </c>
      <c r="O115" s="3" t="str">
        <f t="shared" si="7"/>
        <v>Anuncia</v>
      </c>
      <c r="P115" s="3" t="str">
        <f t="shared" si="7"/>
        <v>Roberto</v>
      </c>
      <c r="Q115" s="3" t="str">
        <f t="shared" si="7"/>
        <v>Hana</v>
      </c>
      <c r="R115" s="3" t="str">
        <f t="shared" si="7"/>
        <v>Antonio</v>
      </c>
      <c r="S115" s="3" t="s">
        <v>472</v>
      </c>
      <c r="T115" s="3" t="s">
        <v>515</v>
      </c>
      <c r="U115" s="40"/>
    </row>
    <row r="116" ht="15.75" customHeight="1">
      <c r="U116" s="38"/>
    </row>
    <row r="117" ht="15.75" customHeight="1">
      <c r="A117" s="21" t="s">
        <v>143</v>
      </c>
      <c r="B117" s="21">
        <f>H111+H112+H113</f>
        <v>496</v>
      </c>
      <c r="E117" s="21" t="s">
        <v>144</v>
      </c>
      <c r="F117" s="22">
        <f>E111+E112+E113</f>
        <v>171</v>
      </c>
      <c r="U117" s="38"/>
    </row>
    <row r="118" ht="15.75" customHeight="1">
      <c r="U118" s="38"/>
    </row>
    <row r="119" ht="15.75" customHeight="1">
      <c r="A119" s="5" t="s">
        <v>145</v>
      </c>
      <c r="B119" s="5" t="s">
        <v>4</v>
      </c>
      <c r="U119" s="38"/>
    </row>
    <row r="120" ht="15.75" customHeight="1">
      <c r="U120" s="38"/>
    </row>
    <row r="121" ht="12.75" customHeight="1">
      <c r="A121" s="2" t="s">
        <v>69</v>
      </c>
      <c r="O121" s="2" t="s">
        <v>310</v>
      </c>
      <c r="U121" s="38" t="s">
        <v>69</v>
      </c>
    </row>
    <row r="122" ht="12.75" customHeight="1">
      <c r="A122" s="2" t="s">
        <v>311</v>
      </c>
      <c r="B122" s="2">
        <f>'2023'!B122+B106</f>
        <v>1191.75</v>
      </c>
      <c r="C122" s="2">
        <f>'2023'!C122+C106</f>
        <v>459.5</v>
      </c>
      <c r="D122" s="2">
        <f>'2023'!D122+D106</f>
        <v>518</v>
      </c>
      <c r="E122" s="2">
        <f>'2023'!E122+E106</f>
        <v>571.25</v>
      </c>
      <c r="F122" s="2">
        <f>'2023'!F122+F106</f>
        <v>1440.25</v>
      </c>
      <c r="G122" s="2">
        <f>'2023'!G122+G106</f>
        <v>407</v>
      </c>
      <c r="H122" s="2">
        <f>'2023'!H122+H106</f>
        <v>543.25</v>
      </c>
      <c r="I122" s="2">
        <f>'2023'!I122+I106</f>
        <v>662.5</v>
      </c>
      <c r="J122" s="2">
        <f>'2023'!J122+J106</f>
        <v>650</v>
      </c>
      <c r="K122" s="2">
        <f>'2023'!K122+K106</f>
        <v>256</v>
      </c>
      <c r="L122" s="2">
        <f>'2023'!L122+L106</f>
        <v>99</v>
      </c>
      <c r="M122" s="2">
        <f>'2023'!M122+M106</f>
        <v>86</v>
      </c>
      <c r="N122" s="2">
        <f>'2023'!N122+N106</f>
        <v>33</v>
      </c>
      <c r="O122" s="2">
        <f>'2023'!O122+O106</f>
        <v>60.25</v>
      </c>
      <c r="P122" s="2" t="s">
        <v>376</v>
      </c>
      <c r="Q122" s="2">
        <f>'2023'!Q122+Q106</f>
        <v>48</v>
      </c>
      <c r="R122" s="2">
        <f>'2023'!R122+R106</f>
        <v>94</v>
      </c>
      <c r="S122" s="2">
        <f>'2023'!S122+S106</f>
        <v>18</v>
      </c>
      <c r="T122" s="2">
        <f>'2023'!T122+T106</f>
        <v>62</v>
      </c>
      <c r="U122" s="38" t="s">
        <v>311</v>
      </c>
    </row>
    <row r="123" ht="15.75" customHeight="1">
      <c r="U123" s="38"/>
    </row>
    <row r="124" ht="12.75" customHeight="1">
      <c r="A124" s="16" t="s">
        <v>85</v>
      </c>
      <c r="B124" s="16">
        <v>3.0</v>
      </c>
      <c r="C124" s="16">
        <v>2.0</v>
      </c>
      <c r="D124" s="16">
        <v>0.0</v>
      </c>
      <c r="E124" s="16">
        <v>1.0</v>
      </c>
      <c r="F124" s="16">
        <v>11.0</v>
      </c>
      <c r="G124" s="16">
        <v>0.0</v>
      </c>
      <c r="H124" s="16">
        <v>0.0</v>
      </c>
      <c r="I124" s="16">
        <v>0.0</v>
      </c>
      <c r="J124" s="16">
        <v>0.0</v>
      </c>
      <c r="K124" s="16">
        <v>0.0</v>
      </c>
      <c r="L124" s="16">
        <v>0.0</v>
      </c>
      <c r="M124" s="16">
        <v>0.0</v>
      </c>
      <c r="N124" s="16">
        <v>0.0</v>
      </c>
      <c r="O124" s="16">
        <v>0.0</v>
      </c>
      <c r="P124" s="2" t="s">
        <v>376</v>
      </c>
      <c r="Q124" s="3">
        <v>0.0</v>
      </c>
      <c r="R124" s="3">
        <v>0.0</v>
      </c>
      <c r="S124" s="16" t="s">
        <v>85</v>
      </c>
      <c r="U124" s="38"/>
    </row>
    <row r="125" ht="15.75" customHeight="1">
      <c r="F125" s="2" t="s">
        <v>576</v>
      </c>
      <c r="U125" s="38"/>
    </row>
    <row r="126" ht="12.75" customHeight="1">
      <c r="A126" s="3" t="s">
        <v>365</v>
      </c>
      <c r="C126" s="3">
        <f>'2023'!C126+C109</f>
        <v>882</v>
      </c>
      <c r="U126" s="38"/>
    </row>
    <row r="127" ht="15.75" customHeight="1"/>
    <row r="128" ht="12.75" customHeight="1">
      <c r="A128" s="24">
        <v>2024.0</v>
      </c>
      <c r="B128" s="3" t="s">
        <v>0</v>
      </c>
      <c r="C128" s="3" t="s">
        <v>1</v>
      </c>
      <c r="D128" s="16" t="s">
        <v>2</v>
      </c>
      <c r="E128" s="3" t="s">
        <v>3</v>
      </c>
      <c r="F128" s="16" t="s">
        <v>4</v>
      </c>
      <c r="G128" s="16" t="s">
        <v>5</v>
      </c>
      <c r="H128" s="16" t="s">
        <v>6</v>
      </c>
      <c r="I128" s="16" t="s">
        <v>7</v>
      </c>
      <c r="J128" s="16" t="s">
        <v>8</v>
      </c>
      <c r="K128" s="16" t="s">
        <v>9</v>
      </c>
      <c r="L128" s="16" t="s">
        <v>10</v>
      </c>
      <c r="M128" s="3" t="s">
        <v>11</v>
      </c>
      <c r="N128" s="3" t="s">
        <v>12</v>
      </c>
      <c r="O128" s="16" t="s">
        <v>150</v>
      </c>
      <c r="P128" s="3" t="s">
        <v>151</v>
      </c>
      <c r="Q128" s="3" t="s">
        <v>345</v>
      </c>
      <c r="R128" s="3" t="s">
        <v>413</v>
      </c>
      <c r="S128" s="3" t="s">
        <v>472</v>
      </c>
      <c r="T128" s="3" t="s">
        <v>515</v>
      </c>
      <c r="U128" s="33">
        <f>A128</f>
        <v>2024</v>
      </c>
    </row>
    <row r="129" ht="15.75" customHeight="1"/>
    <row r="130" ht="15.75" customHeight="1"/>
    <row r="131" ht="15.75" customHeight="1"/>
    <row r="132" ht="15.75" customHeight="1">
      <c r="A132" s="2" t="s">
        <v>144</v>
      </c>
      <c r="B132" s="2" t="s">
        <v>307</v>
      </c>
    </row>
    <row r="133" ht="15.75" customHeight="1">
      <c r="A133" s="2" t="s">
        <v>308</v>
      </c>
      <c r="B133" s="2" t="s">
        <v>545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100:T107 N111:N113">
    <cfRule type="cellIs" dxfId="0" priority="1" stopIfTrue="1" operator="equal">
      <formula>"PLATA"</formula>
    </cfRule>
  </conditionalFormatting>
  <conditionalFormatting sqref="B100:T107 N111:N113">
    <cfRule type="cellIs" dxfId="1" priority="2" stopIfTrue="1" operator="equal">
      <formula>"ORO"</formula>
    </cfRule>
  </conditionalFormatting>
  <conditionalFormatting sqref="B100:T107 N111:N113">
    <cfRule type="cellIs" dxfId="2" priority="3" stopIfTrue="1" operator="equal">
      <formula>"BRONCE"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 ht="12.75" customHeight="1">
      <c r="A1" s="49">
        <v>2025.0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150</v>
      </c>
      <c r="P1" s="3" t="s">
        <v>151</v>
      </c>
      <c r="Q1" s="3" t="s">
        <v>345</v>
      </c>
      <c r="R1" s="3" t="s">
        <v>413</v>
      </c>
      <c r="S1" s="3" t="s">
        <v>472</v>
      </c>
      <c r="T1" s="3" t="s">
        <v>515</v>
      </c>
      <c r="U1" s="50">
        <v>2025.0</v>
      </c>
    </row>
    <row r="2">
      <c r="A2" s="51" t="s">
        <v>473</v>
      </c>
      <c r="B2" s="51" t="s">
        <v>16</v>
      </c>
      <c r="F2" s="51" t="s">
        <v>15</v>
      </c>
      <c r="G2" s="51" t="s">
        <v>16</v>
      </c>
      <c r="H2" s="51" t="s">
        <v>15</v>
      </c>
      <c r="I2" s="51" t="s">
        <v>15</v>
      </c>
      <c r="J2" s="51" t="s">
        <v>16</v>
      </c>
      <c r="U2" s="52">
        <v>45873.0</v>
      </c>
    </row>
    <row r="3">
      <c r="A3" s="51" t="s">
        <v>39</v>
      </c>
      <c r="B3" s="51" t="s">
        <v>15</v>
      </c>
      <c r="F3" s="51" t="s">
        <v>16</v>
      </c>
      <c r="G3" s="51" t="s">
        <v>15</v>
      </c>
      <c r="I3" s="51" t="s">
        <v>16</v>
      </c>
      <c r="J3" s="51" t="s">
        <v>16</v>
      </c>
      <c r="U3" s="52">
        <v>45873.0</v>
      </c>
    </row>
    <row r="4">
      <c r="A4" s="51" t="s">
        <v>577</v>
      </c>
      <c r="B4" s="51" t="s">
        <v>15</v>
      </c>
      <c r="F4" s="51" t="s">
        <v>16</v>
      </c>
      <c r="G4" s="51" t="s">
        <v>15</v>
      </c>
      <c r="I4" s="51" t="s">
        <v>16</v>
      </c>
      <c r="J4" s="51" t="s">
        <v>16</v>
      </c>
      <c r="U4" s="52">
        <v>45873.0</v>
      </c>
    </row>
    <row r="5">
      <c r="A5" s="51" t="s">
        <v>196</v>
      </c>
      <c r="B5" s="51" t="s">
        <v>17</v>
      </c>
      <c r="F5" s="51" t="s">
        <v>16</v>
      </c>
      <c r="J5" s="51" t="s">
        <v>15</v>
      </c>
      <c r="U5" s="52">
        <v>45873.0</v>
      </c>
    </row>
    <row r="6">
      <c r="A6" s="51" t="s">
        <v>92</v>
      </c>
      <c r="B6" s="51" t="s">
        <v>17</v>
      </c>
      <c r="F6" s="51" t="s">
        <v>15</v>
      </c>
      <c r="I6" s="51" t="s">
        <v>17</v>
      </c>
      <c r="J6" s="51" t="s">
        <v>16</v>
      </c>
      <c r="U6" s="52">
        <v>45873.0</v>
      </c>
    </row>
    <row r="7">
      <c r="A7" s="51" t="s">
        <v>578</v>
      </c>
      <c r="B7" s="51" t="s">
        <v>17</v>
      </c>
      <c r="D7" s="51" t="s">
        <v>16</v>
      </c>
      <c r="E7" s="51" t="s">
        <v>579</v>
      </c>
      <c r="F7" s="51" t="s">
        <v>15</v>
      </c>
      <c r="G7" s="51" t="s">
        <v>579</v>
      </c>
      <c r="H7" s="51" t="s">
        <v>17</v>
      </c>
      <c r="I7" s="51" t="s">
        <v>480</v>
      </c>
      <c r="J7" s="51" t="s">
        <v>15</v>
      </c>
      <c r="K7" s="51" t="s">
        <v>579</v>
      </c>
      <c r="L7" s="51" t="s">
        <v>579</v>
      </c>
      <c r="M7" s="51" t="s">
        <v>579</v>
      </c>
      <c r="N7" s="51" t="s">
        <v>579</v>
      </c>
      <c r="O7" s="51" t="s">
        <v>579</v>
      </c>
      <c r="P7" s="51" t="s">
        <v>579</v>
      </c>
      <c r="Q7" s="51" t="s">
        <v>579</v>
      </c>
      <c r="R7" s="51" t="s">
        <v>579</v>
      </c>
      <c r="S7" s="51" t="s">
        <v>579</v>
      </c>
      <c r="T7" s="51" t="s">
        <v>579</v>
      </c>
      <c r="U7" s="52">
        <v>45874.0</v>
      </c>
    </row>
    <row r="8">
      <c r="A8" s="51" t="s">
        <v>580</v>
      </c>
      <c r="B8" s="51" t="s">
        <v>15</v>
      </c>
      <c r="F8" s="51" t="s">
        <v>16</v>
      </c>
      <c r="I8" s="51" t="s">
        <v>17</v>
      </c>
      <c r="U8" s="52">
        <v>45874.0</v>
      </c>
    </row>
    <row r="9">
      <c r="A9" s="51">
        <v>-1.0</v>
      </c>
      <c r="B9" s="51" t="s">
        <v>16</v>
      </c>
      <c r="F9" s="51" t="s">
        <v>15</v>
      </c>
      <c r="I9" s="51" t="s">
        <v>17</v>
      </c>
      <c r="U9" s="52">
        <v>45874.0</v>
      </c>
    </row>
    <row r="10">
      <c r="A10" s="51" t="s">
        <v>553</v>
      </c>
      <c r="D10" s="51" t="s">
        <v>17</v>
      </c>
      <c r="F10" s="51" t="s">
        <v>16</v>
      </c>
      <c r="I10" s="51" t="s">
        <v>16</v>
      </c>
      <c r="J10" s="51" t="s">
        <v>17</v>
      </c>
      <c r="U10" s="52">
        <v>45874.0</v>
      </c>
    </row>
    <row r="11">
      <c r="A11" s="51" t="s">
        <v>23</v>
      </c>
      <c r="B11" s="51" t="s">
        <v>16</v>
      </c>
      <c r="I11" s="51" t="s">
        <v>15</v>
      </c>
      <c r="J11" s="51" t="s">
        <v>17</v>
      </c>
      <c r="U11" s="52">
        <v>45874.0</v>
      </c>
    </row>
    <row r="12">
      <c r="A12" s="51" t="s">
        <v>555</v>
      </c>
      <c r="B12" s="51" t="s">
        <v>16</v>
      </c>
      <c r="F12" s="51" t="s">
        <v>16</v>
      </c>
      <c r="G12" s="51" t="s">
        <v>16</v>
      </c>
      <c r="H12" s="51" t="s">
        <v>16</v>
      </c>
      <c r="I12" s="51" t="s">
        <v>16</v>
      </c>
      <c r="J12" s="51" t="s">
        <v>16</v>
      </c>
      <c r="U12" s="52">
        <v>45874.0</v>
      </c>
    </row>
    <row r="13">
      <c r="A13" s="51" t="s">
        <v>581</v>
      </c>
      <c r="B13" s="51" t="s">
        <v>15</v>
      </c>
      <c r="F13" s="51" t="s">
        <v>16</v>
      </c>
      <c r="I13" s="51" t="s">
        <v>17</v>
      </c>
      <c r="U13" s="52">
        <v>45874.0</v>
      </c>
    </row>
    <row r="14">
      <c r="A14" s="51" t="s">
        <v>553</v>
      </c>
      <c r="F14" s="51" t="s">
        <v>16</v>
      </c>
      <c r="H14" s="51" t="s">
        <v>17</v>
      </c>
      <c r="J14" s="51" t="s">
        <v>15</v>
      </c>
      <c r="U14" s="52">
        <v>45875.0</v>
      </c>
    </row>
    <row r="15">
      <c r="A15" s="51" t="s">
        <v>91</v>
      </c>
      <c r="D15" s="51" t="s">
        <v>15</v>
      </c>
      <c r="F15" s="51" t="s">
        <v>16</v>
      </c>
      <c r="H15" s="51" t="s">
        <v>15</v>
      </c>
      <c r="U15" s="52">
        <v>45875.0</v>
      </c>
    </row>
    <row r="16">
      <c r="A16" s="51" t="s">
        <v>582</v>
      </c>
      <c r="B16" s="51" t="s">
        <v>15</v>
      </c>
      <c r="F16" s="51" t="s">
        <v>16</v>
      </c>
      <c r="G16" s="51" t="s">
        <v>15</v>
      </c>
      <c r="I16" s="51" t="s">
        <v>16</v>
      </c>
      <c r="J16" s="51" t="s">
        <v>16</v>
      </c>
      <c r="U16" s="52">
        <v>45875.0</v>
      </c>
    </row>
    <row r="17">
      <c r="A17" s="51" t="s">
        <v>583</v>
      </c>
      <c r="B17" s="51" t="s">
        <v>16</v>
      </c>
      <c r="F17" s="51" t="s">
        <v>15</v>
      </c>
      <c r="G17" s="51" t="s">
        <v>16</v>
      </c>
      <c r="I17" s="51" t="s">
        <v>15</v>
      </c>
      <c r="J17" s="51" t="s">
        <v>15</v>
      </c>
      <c r="U17" s="52">
        <v>45875.0</v>
      </c>
    </row>
    <row r="18">
      <c r="A18" s="51" t="s">
        <v>196</v>
      </c>
      <c r="B18" s="51" t="s">
        <v>17</v>
      </c>
      <c r="F18" s="51" t="s">
        <v>16</v>
      </c>
      <c r="J18" s="51" t="s">
        <v>15</v>
      </c>
      <c r="U18" s="52">
        <v>45875.0</v>
      </c>
    </row>
    <row r="19">
      <c r="A19" s="51" t="s">
        <v>92</v>
      </c>
      <c r="F19" s="51" t="s">
        <v>16</v>
      </c>
      <c r="H19" s="51" t="s">
        <v>17</v>
      </c>
      <c r="J19" s="51" t="s">
        <v>15</v>
      </c>
      <c r="U19" s="52">
        <v>45875.0</v>
      </c>
    </row>
    <row r="20">
      <c r="A20" s="51" t="s">
        <v>584</v>
      </c>
      <c r="D20" s="51" t="s">
        <v>16</v>
      </c>
      <c r="F20" s="51" t="s">
        <v>15</v>
      </c>
      <c r="I20" s="51" t="s">
        <v>17</v>
      </c>
      <c r="U20" s="52">
        <v>45875.0</v>
      </c>
    </row>
    <row r="21">
      <c r="A21" s="51" t="s">
        <v>377</v>
      </c>
      <c r="D21" s="51" t="s">
        <v>15</v>
      </c>
      <c r="G21" s="51" t="s">
        <v>15</v>
      </c>
      <c r="H21" s="51" t="s">
        <v>15</v>
      </c>
      <c r="I21" s="51" t="s">
        <v>15</v>
      </c>
      <c r="J21" s="51" t="s">
        <v>16</v>
      </c>
      <c r="U21" s="52">
        <v>45875.0</v>
      </c>
    </row>
    <row r="22">
      <c r="A22" s="51" t="s">
        <v>267</v>
      </c>
      <c r="B22" s="51" t="s">
        <v>16</v>
      </c>
      <c r="D22" s="51" t="s">
        <v>16</v>
      </c>
      <c r="F22" s="51" t="s">
        <v>15</v>
      </c>
      <c r="G22" s="51" t="s">
        <v>16</v>
      </c>
      <c r="H22" s="51" t="s">
        <v>16</v>
      </c>
      <c r="I22" s="51" t="s">
        <v>15</v>
      </c>
      <c r="J22" s="51" t="s">
        <v>15</v>
      </c>
      <c r="U22" s="52">
        <v>45875.0</v>
      </c>
    </row>
    <row r="23">
      <c r="A23" s="51" t="s">
        <v>585</v>
      </c>
      <c r="D23" s="51" t="s">
        <v>16</v>
      </c>
      <c r="F23" s="51" t="s">
        <v>16</v>
      </c>
      <c r="H23" s="51" t="s">
        <v>15</v>
      </c>
      <c r="I23" s="51" t="s">
        <v>16</v>
      </c>
      <c r="J23" s="51" t="s">
        <v>15</v>
      </c>
      <c r="U23" s="52">
        <v>45875.0</v>
      </c>
    </row>
    <row r="24">
      <c r="A24" s="51" t="s">
        <v>586</v>
      </c>
      <c r="F24" s="51" t="s">
        <v>16</v>
      </c>
      <c r="H24" s="51" t="s">
        <v>15</v>
      </c>
      <c r="J24" s="51" t="s">
        <v>15</v>
      </c>
      <c r="U24" s="52">
        <v>45875.0</v>
      </c>
    </row>
    <row r="25">
      <c r="A25" s="51" t="s">
        <v>587</v>
      </c>
      <c r="J25" s="51" t="s">
        <v>16</v>
      </c>
      <c r="O25" s="51" t="s">
        <v>16</v>
      </c>
      <c r="T25" s="51" t="s">
        <v>16</v>
      </c>
      <c r="U25" s="52"/>
    </row>
    <row r="26">
      <c r="A26" s="51" t="s">
        <v>31</v>
      </c>
      <c r="F26" s="51" t="s">
        <v>15</v>
      </c>
      <c r="H26" s="51" t="s">
        <v>15</v>
      </c>
      <c r="I26" s="51" t="s">
        <v>16</v>
      </c>
      <c r="U26" s="52">
        <v>45875.0</v>
      </c>
    </row>
    <row r="27">
      <c r="A27" s="51" t="s">
        <v>44</v>
      </c>
      <c r="B27" s="51" t="s">
        <v>15</v>
      </c>
      <c r="F27" s="51" t="s">
        <v>17</v>
      </c>
      <c r="G27" s="51" t="s">
        <v>17</v>
      </c>
      <c r="I27" s="51" t="s">
        <v>16</v>
      </c>
      <c r="U27" s="52">
        <v>45875.0</v>
      </c>
    </row>
    <row r="28">
      <c r="A28" s="51" t="s">
        <v>558</v>
      </c>
      <c r="D28" s="51" t="s">
        <v>15</v>
      </c>
      <c r="F28" s="51" t="s">
        <v>16</v>
      </c>
      <c r="H28" s="51" t="s">
        <v>17</v>
      </c>
      <c r="U28" s="52">
        <v>45875.0</v>
      </c>
    </row>
    <row r="29">
      <c r="A29" s="51" t="s">
        <v>588</v>
      </c>
      <c r="P29" s="51" t="s">
        <v>16</v>
      </c>
      <c r="U29" s="52">
        <v>45875.0</v>
      </c>
    </row>
    <row r="30">
      <c r="A30" s="51" t="s">
        <v>589</v>
      </c>
      <c r="B30" s="51" t="s">
        <v>15</v>
      </c>
      <c r="D30" s="51" t="s">
        <v>16</v>
      </c>
      <c r="F30" s="51" t="s">
        <v>16</v>
      </c>
      <c r="G30" s="51" t="s">
        <v>15</v>
      </c>
      <c r="H30" s="51" t="s">
        <v>16</v>
      </c>
      <c r="I30" s="51" t="s">
        <v>17</v>
      </c>
      <c r="J30" s="51" t="s">
        <v>17</v>
      </c>
      <c r="U30" s="52">
        <v>45875.0</v>
      </c>
    </row>
    <row r="31">
      <c r="A31" s="51" t="s">
        <v>201</v>
      </c>
      <c r="B31" s="51" t="s">
        <v>15</v>
      </c>
      <c r="I31" s="51" t="s">
        <v>15</v>
      </c>
      <c r="J31" s="51" t="s">
        <v>16</v>
      </c>
      <c r="U31" s="52">
        <v>45875.0</v>
      </c>
    </row>
    <row r="32">
      <c r="A32" s="51" t="s">
        <v>590</v>
      </c>
      <c r="D32" s="51" t="s">
        <v>16</v>
      </c>
      <c r="H32" s="51" t="s">
        <v>17</v>
      </c>
      <c r="I32" s="51" t="s">
        <v>17</v>
      </c>
      <c r="J32" s="51" t="s">
        <v>16</v>
      </c>
      <c r="U32" s="52">
        <v>45875.0</v>
      </c>
    </row>
    <row r="33">
      <c r="A33" s="51" t="s">
        <v>540</v>
      </c>
      <c r="F33" s="51" t="s">
        <v>16</v>
      </c>
      <c r="H33" s="51" t="s">
        <v>16</v>
      </c>
      <c r="I33" s="51" t="s">
        <v>17</v>
      </c>
      <c r="U33" s="52">
        <v>45875.0</v>
      </c>
    </row>
    <row r="34">
      <c r="A34" s="51" t="s">
        <v>573</v>
      </c>
      <c r="B34" s="51" t="s">
        <v>15</v>
      </c>
      <c r="F34" s="51" t="s">
        <v>17</v>
      </c>
      <c r="G34" s="51" t="s">
        <v>17</v>
      </c>
      <c r="J34" s="51" t="s">
        <v>16</v>
      </c>
      <c r="U34" s="52">
        <v>45876.0</v>
      </c>
    </row>
    <row r="35">
      <c r="A35" s="51" t="s">
        <v>591</v>
      </c>
      <c r="B35" s="51" t="s">
        <v>15</v>
      </c>
      <c r="F35" s="51" t="s">
        <v>16</v>
      </c>
      <c r="J35" s="51" t="s">
        <v>17</v>
      </c>
      <c r="U35" s="52">
        <v>45876.0</v>
      </c>
    </row>
    <row r="36">
      <c r="A36" s="51" t="s">
        <v>592</v>
      </c>
      <c r="B36" s="51" t="s">
        <v>16</v>
      </c>
      <c r="F36" s="51" t="s">
        <v>16</v>
      </c>
      <c r="J36" s="51" t="s">
        <v>17</v>
      </c>
      <c r="U36" s="52">
        <v>45876.0</v>
      </c>
    </row>
    <row r="37">
      <c r="A37" s="51" t="s">
        <v>593</v>
      </c>
      <c r="B37" s="51" t="s">
        <v>15</v>
      </c>
      <c r="F37" s="51" t="s">
        <v>17</v>
      </c>
      <c r="I37" s="51" t="s">
        <v>16</v>
      </c>
      <c r="U37" s="52">
        <v>45876.0</v>
      </c>
    </row>
    <row r="38">
      <c r="A38" s="51" t="s">
        <v>594</v>
      </c>
      <c r="B38" s="51" t="s">
        <v>15</v>
      </c>
      <c r="F38" s="51" t="s">
        <v>16</v>
      </c>
      <c r="G38" s="51" t="s">
        <v>16</v>
      </c>
      <c r="I38" s="51" t="s">
        <v>15</v>
      </c>
      <c r="J38" s="51" t="s">
        <v>15</v>
      </c>
      <c r="U38" s="52">
        <v>45876.0</v>
      </c>
    </row>
    <row r="39">
      <c r="A39" s="51" t="s">
        <v>595</v>
      </c>
      <c r="B39" s="51" t="s">
        <v>17</v>
      </c>
      <c r="F39" s="51" t="s">
        <v>16</v>
      </c>
      <c r="G39" s="51" t="s">
        <v>15</v>
      </c>
      <c r="H39" s="51" t="s">
        <v>17</v>
      </c>
      <c r="I39" s="51" t="s">
        <v>15</v>
      </c>
      <c r="J39" s="51" t="s">
        <v>16</v>
      </c>
      <c r="U39" s="52">
        <v>45876.0</v>
      </c>
    </row>
    <row r="40">
      <c r="A40" s="51" t="s">
        <v>596</v>
      </c>
      <c r="H40" s="51" t="s">
        <v>17</v>
      </c>
      <c r="I40" s="51" t="s">
        <v>16</v>
      </c>
      <c r="T40" s="51" t="s">
        <v>16</v>
      </c>
      <c r="U40" s="52">
        <v>45876.0</v>
      </c>
    </row>
    <row r="41">
      <c r="A41" s="51" t="s">
        <v>551</v>
      </c>
      <c r="B41" s="51" t="s">
        <v>16</v>
      </c>
      <c r="D41" s="51" t="s">
        <v>16</v>
      </c>
      <c r="I41" s="51" t="s">
        <v>15</v>
      </c>
      <c r="J41" s="51" t="s">
        <v>16</v>
      </c>
      <c r="U41" s="52">
        <v>45876.0</v>
      </c>
    </row>
    <row r="42">
      <c r="A42" s="51" t="s">
        <v>553</v>
      </c>
      <c r="F42" s="51" t="s">
        <v>15</v>
      </c>
      <c r="H42" s="51" t="s">
        <v>15</v>
      </c>
      <c r="I42" s="51" t="s">
        <v>15</v>
      </c>
      <c r="J42" s="51" t="s">
        <v>16</v>
      </c>
      <c r="U42" s="52">
        <v>45876.0</v>
      </c>
    </row>
    <row r="43">
      <c r="A43" s="51" t="s">
        <v>92</v>
      </c>
      <c r="B43" s="51" t="s">
        <v>17</v>
      </c>
      <c r="F43" s="51" t="s">
        <v>16</v>
      </c>
      <c r="J43" s="51" t="s">
        <v>15</v>
      </c>
      <c r="U43" s="52">
        <v>45876.0</v>
      </c>
    </row>
    <row r="44">
      <c r="A44" s="51" t="s">
        <v>201</v>
      </c>
      <c r="B44" s="51" t="s">
        <v>16</v>
      </c>
      <c r="F44" s="51" t="s">
        <v>17</v>
      </c>
      <c r="J44" s="51" t="s">
        <v>15</v>
      </c>
      <c r="U44" s="52">
        <v>45877.0</v>
      </c>
    </row>
    <row r="45">
      <c r="A45" s="51" t="s">
        <v>31</v>
      </c>
      <c r="B45" s="51" t="s">
        <v>16</v>
      </c>
      <c r="F45" s="51" t="s">
        <v>15</v>
      </c>
      <c r="J45" s="51" t="s">
        <v>15</v>
      </c>
      <c r="U45" s="52">
        <v>45877.0</v>
      </c>
    </row>
    <row r="46">
      <c r="A46" s="51" t="s">
        <v>114</v>
      </c>
      <c r="B46" s="51" t="s">
        <v>16</v>
      </c>
      <c r="F46" s="51" t="s">
        <v>15</v>
      </c>
      <c r="J46" s="51" t="s">
        <v>17</v>
      </c>
      <c r="U46" s="52">
        <v>45877.0</v>
      </c>
    </row>
    <row r="47">
      <c r="A47" s="51" t="s">
        <v>597</v>
      </c>
      <c r="B47" s="51" t="s">
        <v>17</v>
      </c>
      <c r="D47" s="51" t="s">
        <v>17</v>
      </c>
      <c r="F47" s="51" t="s">
        <v>16</v>
      </c>
      <c r="G47" s="51" t="s">
        <v>16</v>
      </c>
      <c r="H47" s="51" t="s">
        <v>17</v>
      </c>
      <c r="I47" s="51" t="s">
        <v>16</v>
      </c>
      <c r="J47" s="51" t="s">
        <v>16</v>
      </c>
      <c r="U47" s="52">
        <v>45877.0</v>
      </c>
    </row>
    <row r="48">
      <c r="A48" s="51" t="s">
        <v>598</v>
      </c>
      <c r="B48" s="51" t="s">
        <v>15</v>
      </c>
      <c r="D48" s="51" t="s">
        <v>15</v>
      </c>
      <c r="F48" s="51" t="s">
        <v>16</v>
      </c>
      <c r="G48" s="51" t="s">
        <v>16</v>
      </c>
      <c r="H48" s="51" t="s">
        <v>15</v>
      </c>
      <c r="I48" s="51" t="s">
        <v>17</v>
      </c>
      <c r="J48" s="51" t="s">
        <v>17</v>
      </c>
      <c r="U48" s="52">
        <v>45878.0</v>
      </c>
    </row>
    <row r="49">
      <c r="A49" s="51" t="s">
        <v>599</v>
      </c>
      <c r="B49" s="51" t="s">
        <v>15</v>
      </c>
      <c r="D49" s="51" t="s">
        <v>15</v>
      </c>
      <c r="F49" s="51" t="s">
        <v>17</v>
      </c>
      <c r="G49" s="51" t="s">
        <v>17</v>
      </c>
      <c r="H49" s="51" t="s">
        <v>15</v>
      </c>
      <c r="I49" s="51" t="s">
        <v>16</v>
      </c>
      <c r="J49" s="51" t="s">
        <v>16</v>
      </c>
      <c r="U49" s="52">
        <v>45878.0</v>
      </c>
    </row>
    <row r="50">
      <c r="A50" s="51" t="s">
        <v>92</v>
      </c>
      <c r="D50" s="51" t="s">
        <v>17</v>
      </c>
      <c r="F50" s="51" t="s">
        <v>16</v>
      </c>
      <c r="J50" s="51" t="s">
        <v>15</v>
      </c>
      <c r="U50" s="52">
        <v>45878.0</v>
      </c>
    </row>
    <row r="51">
      <c r="A51" s="51" t="s">
        <v>27</v>
      </c>
      <c r="D51" s="51" t="s">
        <v>15</v>
      </c>
      <c r="F51" s="51" t="s">
        <v>15</v>
      </c>
      <c r="G51" s="51" t="s">
        <v>15</v>
      </c>
      <c r="H51" s="51" t="s">
        <v>16</v>
      </c>
      <c r="U51" s="52">
        <v>45878.0</v>
      </c>
    </row>
    <row r="52">
      <c r="A52" s="51" t="s">
        <v>600</v>
      </c>
      <c r="D52" s="51" t="s">
        <v>15</v>
      </c>
      <c r="F52" s="51" t="s">
        <v>16</v>
      </c>
      <c r="H52" s="51" t="s">
        <v>17</v>
      </c>
      <c r="I52" s="51" t="s">
        <v>17</v>
      </c>
      <c r="J52" s="51" t="s">
        <v>16</v>
      </c>
      <c r="T52" s="51" t="s">
        <v>15</v>
      </c>
      <c r="U52" s="52">
        <v>45878.0</v>
      </c>
    </row>
    <row r="53">
      <c r="A53" s="51" t="s">
        <v>601</v>
      </c>
      <c r="B53" s="51" t="s">
        <v>17</v>
      </c>
      <c r="F53" s="51" t="s">
        <v>16</v>
      </c>
      <c r="J53" s="51" t="s">
        <v>15</v>
      </c>
      <c r="U53" s="52">
        <v>45878.0</v>
      </c>
    </row>
    <row r="54">
      <c r="A54" s="51" t="s">
        <v>540</v>
      </c>
      <c r="F54" s="51" t="s">
        <v>16</v>
      </c>
      <c r="J54" s="51" t="s">
        <v>15</v>
      </c>
      <c r="T54" s="51" t="s">
        <v>15</v>
      </c>
      <c r="U54" s="52">
        <v>45878.0</v>
      </c>
    </row>
    <row r="55">
      <c r="A55" s="51" t="s">
        <v>602</v>
      </c>
      <c r="B55" s="51" t="s">
        <v>17</v>
      </c>
      <c r="D55" s="51" t="s">
        <v>15</v>
      </c>
      <c r="F55" s="51" t="s">
        <v>17</v>
      </c>
      <c r="G55" s="51" t="s">
        <v>17</v>
      </c>
      <c r="H55" s="51" t="s">
        <v>17</v>
      </c>
      <c r="I55" s="51" t="s">
        <v>17</v>
      </c>
      <c r="J55" s="51" t="s">
        <v>17</v>
      </c>
      <c r="T55" s="51" t="s">
        <v>16</v>
      </c>
      <c r="U55" s="52">
        <v>45878.0</v>
      </c>
    </row>
    <row r="56">
      <c r="A56" s="51" t="s">
        <v>603</v>
      </c>
      <c r="B56" s="51" t="s">
        <v>15</v>
      </c>
      <c r="F56" s="51" t="s">
        <v>16</v>
      </c>
      <c r="G56" s="51" t="s">
        <v>15</v>
      </c>
      <c r="I56" s="51" t="s">
        <v>16</v>
      </c>
      <c r="J56" s="51" t="s">
        <v>15</v>
      </c>
      <c r="T56" s="51" t="s">
        <v>16</v>
      </c>
      <c r="U56" s="52">
        <v>45878.0</v>
      </c>
    </row>
    <row r="57">
      <c r="A57" s="51" t="s">
        <v>604</v>
      </c>
      <c r="B57" s="51" t="s">
        <v>16</v>
      </c>
      <c r="F57" s="51" t="s">
        <v>17</v>
      </c>
      <c r="G57" s="51" t="s">
        <v>16</v>
      </c>
      <c r="I57" s="51" t="s">
        <v>15</v>
      </c>
      <c r="J57" s="51" t="s">
        <v>15</v>
      </c>
      <c r="T57" s="51" t="s">
        <v>17</v>
      </c>
      <c r="U57" s="52">
        <v>45878.0</v>
      </c>
    </row>
    <row r="58">
      <c r="A58" s="51" t="s">
        <v>605</v>
      </c>
      <c r="B58" s="51" t="s">
        <v>17</v>
      </c>
      <c r="F58" s="51" t="s">
        <v>16</v>
      </c>
      <c r="J58" s="51" t="s">
        <v>15</v>
      </c>
      <c r="U58" s="52">
        <v>45878.0</v>
      </c>
    </row>
    <row r="59">
      <c r="A59" s="51" t="s">
        <v>602</v>
      </c>
      <c r="E59" s="51" t="s">
        <v>15</v>
      </c>
      <c r="F59" s="51" t="s">
        <v>17</v>
      </c>
      <c r="I59" s="51" t="s">
        <v>17</v>
      </c>
      <c r="S59" s="51" t="s">
        <v>15</v>
      </c>
      <c r="T59" s="51" t="s">
        <v>16</v>
      </c>
      <c r="U59" s="52">
        <v>45878.0</v>
      </c>
    </row>
    <row r="60">
      <c r="A60" s="51" t="s">
        <v>513</v>
      </c>
      <c r="B60" s="51" t="s">
        <v>16</v>
      </c>
      <c r="J60" s="51" t="s">
        <v>15</v>
      </c>
      <c r="U60" s="52">
        <v>45878.0</v>
      </c>
    </row>
    <row r="61">
      <c r="A61" s="51" t="s">
        <v>606</v>
      </c>
      <c r="B61" s="51" t="s">
        <v>16</v>
      </c>
      <c r="D61" s="51" t="s">
        <v>15</v>
      </c>
      <c r="E61" s="51" t="s">
        <v>15</v>
      </c>
      <c r="F61" s="51" t="s">
        <v>16</v>
      </c>
      <c r="G61" s="51" t="s">
        <v>16</v>
      </c>
      <c r="I61" s="51" t="s">
        <v>15</v>
      </c>
      <c r="J61" s="51" t="s">
        <v>15</v>
      </c>
      <c r="S61" s="51" t="s">
        <v>15</v>
      </c>
      <c r="T61" s="51" t="s">
        <v>16</v>
      </c>
      <c r="U61" s="52">
        <v>45878.0</v>
      </c>
    </row>
    <row r="62">
      <c r="A62" s="51" t="s">
        <v>607</v>
      </c>
      <c r="B62" s="51" t="s">
        <v>16</v>
      </c>
      <c r="E62" s="51" t="s">
        <v>15</v>
      </c>
      <c r="F62" s="51" t="s">
        <v>15</v>
      </c>
      <c r="G62" s="51" t="s">
        <v>16</v>
      </c>
      <c r="I62" s="51" t="s">
        <v>16</v>
      </c>
      <c r="J62" s="51" t="s">
        <v>15</v>
      </c>
      <c r="T62" s="51" t="s">
        <v>16</v>
      </c>
      <c r="U62" s="52">
        <v>45878.0</v>
      </c>
    </row>
    <row r="63">
      <c r="A63" s="51" t="s">
        <v>608</v>
      </c>
      <c r="B63" s="51" t="s">
        <v>15</v>
      </c>
      <c r="E63" s="51" t="s">
        <v>16</v>
      </c>
      <c r="F63" s="51" t="s">
        <v>16</v>
      </c>
      <c r="G63" s="51" t="s">
        <v>15</v>
      </c>
      <c r="J63" s="51" t="s">
        <v>16</v>
      </c>
      <c r="T63" s="51" t="s">
        <v>15</v>
      </c>
      <c r="U63" s="52">
        <v>45878.0</v>
      </c>
    </row>
    <row r="64">
      <c r="A64" s="51" t="s">
        <v>609</v>
      </c>
      <c r="D64" s="51" t="s">
        <v>17</v>
      </c>
      <c r="F64" s="51" t="s">
        <v>17</v>
      </c>
      <c r="H64" s="51" t="s">
        <v>16</v>
      </c>
      <c r="I64" s="51" t="s">
        <v>17</v>
      </c>
      <c r="J64" s="51" t="s">
        <v>16</v>
      </c>
      <c r="T64" s="51" t="s">
        <v>17</v>
      </c>
      <c r="U64" s="52">
        <v>45878.0</v>
      </c>
    </row>
    <row r="65">
      <c r="A65" s="51" t="s">
        <v>610</v>
      </c>
      <c r="B65" s="51" t="s">
        <v>15</v>
      </c>
      <c r="F65" s="51" t="s">
        <v>16</v>
      </c>
      <c r="J65" s="51" t="s">
        <v>17</v>
      </c>
      <c r="U65" s="52">
        <v>45878.0</v>
      </c>
    </row>
    <row r="66">
      <c r="A66" s="51" t="s">
        <v>581</v>
      </c>
      <c r="B66" s="51" t="s">
        <v>16</v>
      </c>
      <c r="F66" s="51" t="s">
        <v>16</v>
      </c>
      <c r="J66" s="51" t="s">
        <v>17</v>
      </c>
      <c r="U66" s="52">
        <v>45878.0</v>
      </c>
    </row>
    <row r="67">
      <c r="A67" s="51" t="s">
        <v>585</v>
      </c>
      <c r="B67" s="51" t="s">
        <v>16</v>
      </c>
      <c r="F67" s="51" t="s">
        <v>16</v>
      </c>
      <c r="J67" s="51" t="s">
        <v>16</v>
      </c>
      <c r="U67" s="52">
        <v>45878.0</v>
      </c>
    </row>
    <row r="68">
      <c r="A68" s="51" t="s">
        <v>540</v>
      </c>
      <c r="D68" s="51" t="s">
        <v>15</v>
      </c>
      <c r="F68" s="51" t="s">
        <v>16</v>
      </c>
      <c r="T68" s="51" t="s">
        <v>15</v>
      </c>
      <c r="U68" s="52">
        <v>45878.0</v>
      </c>
    </row>
    <row r="69">
      <c r="A69" s="51" t="s">
        <v>477</v>
      </c>
      <c r="B69" s="51" t="s">
        <v>16</v>
      </c>
      <c r="D69" s="51" t="s">
        <v>17</v>
      </c>
      <c r="F69" s="51" t="s">
        <v>15</v>
      </c>
      <c r="U69" s="52">
        <v>45879.0</v>
      </c>
    </row>
    <row r="70">
      <c r="A70" s="51" t="s">
        <v>477</v>
      </c>
      <c r="E70" s="51" t="s">
        <v>17</v>
      </c>
      <c r="F70" s="51" t="s">
        <v>15</v>
      </c>
      <c r="I70" s="51" t="s">
        <v>16</v>
      </c>
    </row>
    <row r="71">
      <c r="A71" s="51">
        <v>-1.0</v>
      </c>
      <c r="B71" s="51" t="s">
        <v>16</v>
      </c>
      <c r="F71" s="51" t="s">
        <v>15</v>
      </c>
      <c r="I71" s="51" t="s">
        <v>17</v>
      </c>
    </row>
    <row r="72">
      <c r="A72" s="51" t="s">
        <v>389</v>
      </c>
      <c r="B72" s="51" t="s">
        <v>15</v>
      </c>
      <c r="H72" s="51" t="s">
        <v>15</v>
      </c>
      <c r="J72" s="51" t="s">
        <v>16</v>
      </c>
    </row>
    <row r="100">
      <c r="A100" s="2" t="s">
        <v>89</v>
      </c>
      <c r="B100" s="3">
        <f t="array" ref="B100">SUM(IF(B2:B99="v",1))</f>
        <v>0</v>
      </c>
      <c r="C100" s="3">
        <f t="array" ref="C100">SUM(IF(C2:C99="v",1))</f>
        <v>0</v>
      </c>
      <c r="D100" s="3">
        <f t="array" ref="D100">SUM(IF(D2:D99="v",1))</f>
        <v>0</v>
      </c>
      <c r="E100" s="3">
        <f t="array" ref="E100">SUM(IF(E2:E99="v",1))</f>
        <v>0</v>
      </c>
      <c r="F100" s="3">
        <f t="array" ref="F100">SUM(IF(F2:F99="v",1))</f>
        <v>0</v>
      </c>
      <c r="G100" s="3">
        <f t="array" ref="G100">SUM(IF(G2:G99="v",1))</f>
        <v>0</v>
      </c>
      <c r="H100" s="3">
        <f t="array" ref="H100">SUM(IF(H2:H99="v",1))</f>
        <v>0</v>
      </c>
      <c r="I100" s="3">
        <f t="array" ref="I100">SUM(IF(I2:I99="v",1))</f>
        <v>1</v>
      </c>
      <c r="J100" s="3">
        <f t="array" ref="J100">SUM(IF(J2:J99="v",1))</f>
        <v>0</v>
      </c>
      <c r="K100" s="3">
        <f t="array" ref="K100">SUM(IF(K2:K99="v",1))</f>
        <v>0</v>
      </c>
      <c r="L100" s="3">
        <f t="array" ref="L100">SUM(IF(L2:L99="v",1))</f>
        <v>0</v>
      </c>
      <c r="M100" s="3">
        <f t="array" ref="M100">SUM(IF(M2:M99="v",1))</f>
        <v>0</v>
      </c>
      <c r="N100" s="3">
        <f t="array" ref="N100">SUM(IF(N2:N99="v",1))</f>
        <v>0</v>
      </c>
      <c r="O100" s="3">
        <f t="array" ref="O100">SUM(IF(O2:O99="v",1))</f>
        <v>0</v>
      </c>
      <c r="P100" s="3">
        <f t="array" ref="P100">SUM(IF(P2:P99="v",1))</f>
        <v>0</v>
      </c>
      <c r="Q100" s="3">
        <f t="array" ref="Q100">SUM(IF(Q2:Q99="v",1))</f>
        <v>0</v>
      </c>
      <c r="R100" s="3">
        <f t="array" ref="R100">SUM(IF(R2:R99="v",1))</f>
        <v>0</v>
      </c>
      <c r="S100" s="3">
        <f t="array" ref="S100">SUM(IF(S2:S99="v",1))</f>
        <v>0</v>
      </c>
      <c r="T100" s="3">
        <f t="array" ref="T100">SUM(IF(T2:T99="v",1))</f>
        <v>0</v>
      </c>
      <c r="U100" s="38" t="s">
        <v>89</v>
      </c>
    </row>
    <row r="101">
      <c r="A101" s="2" t="s">
        <v>90</v>
      </c>
      <c r="B101" s="3">
        <f t="array" ref="B101">SUM(IF(B2:B99="x",1))</f>
        <v>0</v>
      </c>
      <c r="C101" s="3">
        <f t="array" ref="C101">SUM(IF(C2:C99="x",1))</f>
        <v>0</v>
      </c>
      <c r="D101" s="3">
        <f t="array" ref="D101">SUM(IF(D2:D99="x",1))</f>
        <v>0</v>
      </c>
      <c r="E101" s="3">
        <f t="array" ref="E101">SUM(IF(E2:E99="x",1))</f>
        <v>1</v>
      </c>
      <c r="F101" s="3">
        <f t="array" ref="F101">SUM(IF(F2:F99="x",1))</f>
        <v>0</v>
      </c>
      <c r="G101" s="3">
        <f t="array" ref="G101">SUM(IF(G2:G99="x",1))</f>
        <v>1</v>
      </c>
      <c r="H101" s="3">
        <f t="array" ref="H101">SUM(IF(H2:H99="x",1))</f>
        <v>0</v>
      </c>
      <c r="I101" s="3">
        <f t="array" ref="I101">SUM(IF(I2:I99="x",1))</f>
        <v>0</v>
      </c>
      <c r="J101" s="3">
        <f t="array" ref="J101">SUM(IF(J2:J99="x",1))</f>
        <v>0</v>
      </c>
      <c r="K101" s="3">
        <f t="array" ref="K101">SUM(IF(K2:K99="x",1))</f>
        <v>1</v>
      </c>
      <c r="L101" s="3">
        <f t="array" ref="L101">SUM(IF(L2:L99="x",1))</f>
        <v>1</v>
      </c>
      <c r="M101" s="3">
        <f t="array" ref="M101">SUM(IF(M2:M99="x",1))</f>
        <v>1</v>
      </c>
      <c r="N101" s="3">
        <f t="array" ref="N101">SUM(IF(N2:N99="x",1))</f>
        <v>1</v>
      </c>
      <c r="O101" s="3">
        <f t="array" ref="O101">SUM(IF(O2:O99="x",1))</f>
        <v>1</v>
      </c>
      <c r="P101" s="3">
        <f t="array" ref="P101">SUM(IF(P2:P99="x",1))</f>
        <v>1</v>
      </c>
      <c r="Q101" s="3">
        <f t="array" ref="Q101">SUM(IF(Q2:Q99="x",1))</f>
        <v>1</v>
      </c>
      <c r="R101" s="3">
        <f t="array" ref="R101">SUM(IF(R2:R99="x",1))</f>
        <v>1</v>
      </c>
      <c r="S101" s="3">
        <f t="array" ref="S101">SUM(IF(S2:S99="x",1))</f>
        <v>1</v>
      </c>
      <c r="T101" s="3">
        <f t="array" ref="T101">SUM(IF(T2:T99="x",1))</f>
        <v>1</v>
      </c>
      <c r="U101" s="38" t="s">
        <v>90</v>
      </c>
    </row>
    <row r="102">
      <c r="A102" s="2" t="s">
        <v>128</v>
      </c>
      <c r="B102" s="3">
        <f t="shared" ref="B102:T102" si="1">B100+B103+B104+B105</f>
        <v>47</v>
      </c>
      <c r="C102" s="3">
        <f t="shared" si="1"/>
        <v>0</v>
      </c>
      <c r="D102" s="3">
        <f t="shared" si="1"/>
        <v>22</v>
      </c>
      <c r="E102" s="3">
        <f t="shared" si="1"/>
        <v>5</v>
      </c>
      <c r="F102" s="3">
        <f t="shared" si="1"/>
        <v>61</v>
      </c>
      <c r="G102" s="3">
        <f t="shared" si="1"/>
        <v>23</v>
      </c>
      <c r="H102" s="3">
        <f t="shared" si="1"/>
        <v>26</v>
      </c>
      <c r="I102" s="3">
        <f t="shared" si="1"/>
        <v>42</v>
      </c>
      <c r="J102" s="3">
        <f t="shared" si="1"/>
        <v>53</v>
      </c>
      <c r="K102" s="3">
        <f t="shared" si="1"/>
        <v>0</v>
      </c>
      <c r="L102" s="3">
        <f t="shared" si="1"/>
        <v>0</v>
      </c>
      <c r="M102" s="3">
        <f t="shared" si="1"/>
        <v>0</v>
      </c>
      <c r="N102" s="3">
        <f t="shared" si="1"/>
        <v>0</v>
      </c>
      <c r="O102" s="3">
        <f t="shared" si="1"/>
        <v>1</v>
      </c>
      <c r="P102" s="3">
        <f t="shared" si="1"/>
        <v>1</v>
      </c>
      <c r="Q102" s="3">
        <f t="shared" si="1"/>
        <v>0</v>
      </c>
      <c r="R102" s="3">
        <f t="shared" si="1"/>
        <v>0</v>
      </c>
      <c r="S102" s="3">
        <f t="shared" si="1"/>
        <v>2</v>
      </c>
      <c r="T102" s="3">
        <f t="shared" si="1"/>
        <v>13</v>
      </c>
      <c r="U102" s="38" t="s">
        <v>128</v>
      </c>
    </row>
    <row r="103">
      <c r="A103" s="2" t="s">
        <v>17</v>
      </c>
      <c r="B103" s="3">
        <f t="array" ref="B103">SUM(IF(B$2:B$99=$A103,1))</f>
        <v>10</v>
      </c>
      <c r="C103" s="3">
        <f t="array" ref="C103">SUM(IF(C$2:C$99=$A103,1))</f>
        <v>0</v>
      </c>
      <c r="D103" s="3">
        <f t="array" ref="D103">SUM(IF(D$2:D$99=$A103,1))</f>
        <v>5</v>
      </c>
      <c r="E103" s="3">
        <f t="array" ref="E103">SUM(IF(E$2:E$99=$A103,1))</f>
        <v>1</v>
      </c>
      <c r="F103" s="3">
        <f t="array" ref="F103">SUM(IF(F$2:F$99=$A103,1))</f>
        <v>9</v>
      </c>
      <c r="G103" s="3">
        <f t="array" ref="G103">SUM(IF(G$2:G$99=$A103,1))</f>
        <v>4</v>
      </c>
      <c r="H103" s="3">
        <f t="array" ref="H103">SUM(IF(H$2:H$99=$A103,1))</f>
        <v>10</v>
      </c>
      <c r="I103" s="3">
        <f t="array" ref="I103">SUM(IF(I$2:I$99=$A103,1))</f>
        <v>14</v>
      </c>
      <c r="J103" s="3">
        <f t="array" ref="J103">SUM(IF(J$2:J$99=$A103,1))</f>
        <v>10</v>
      </c>
      <c r="K103" s="3">
        <f t="array" ref="K103">SUM(IF(K$2:K$99=$A103,1))</f>
        <v>0</v>
      </c>
      <c r="L103" s="3">
        <f t="array" ref="L103">SUM(IF(L$2:L$99=$A103,1))</f>
        <v>0</v>
      </c>
      <c r="M103" s="3">
        <f t="array" ref="M103">SUM(IF(M$2:M$99=$A103,1))</f>
        <v>0</v>
      </c>
      <c r="N103" s="3">
        <f t="array" ref="N103">SUM(IF(N$2:N$99=$A103,1))</f>
        <v>0</v>
      </c>
      <c r="O103" s="3">
        <f t="array" ref="O103">SUM(IF(O$2:O$99=$A103,1))</f>
        <v>0</v>
      </c>
      <c r="P103" s="3">
        <f t="array" ref="P103">SUM(IF(P$2:P$99=$A103,1))</f>
        <v>0</v>
      </c>
      <c r="Q103" s="3">
        <f t="array" ref="Q103">SUM(IF(Q$2:Q$99=$A103,1))</f>
        <v>0</v>
      </c>
      <c r="R103" s="3">
        <f t="array" ref="R103">SUM(IF(R$2:R$99=$A103,1))</f>
        <v>0</v>
      </c>
      <c r="S103" s="3">
        <f t="array" ref="S103">SUM(IF(S$2:S$99=$A103,1))</f>
        <v>0</v>
      </c>
      <c r="T103" s="3">
        <f t="array" ref="T103">SUM(IF(T$2:T$99=$A103,1))</f>
        <v>2</v>
      </c>
      <c r="U103" s="38" t="s">
        <v>17</v>
      </c>
    </row>
    <row r="104">
      <c r="A104" s="2" t="s">
        <v>15</v>
      </c>
      <c r="B104" s="3">
        <f t="array" ref="B104">SUM(IF(B$2:B$99=$A104,1))</f>
        <v>18</v>
      </c>
      <c r="C104" s="3">
        <f t="array" ref="C104">SUM(IF(C$2:C$99=$A104,1))</f>
        <v>0</v>
      </c>
      <c r="D104" s="3">
        <f t="array" ref="D104">SUM(IF(D$2:D$99=$A104,1))</f>
        <v>10</v>
      </c>
      <c r="E104" s="3">
        <f t="array" ref="E104">SUM(IF(E$2:E$99=$A104,1))</f>
        <v>3</v>
      </c>
      <c r="F104" s="3">
        <f t="array" ref="F104">SUM(IF(F$2:F$99=$A104,1))</f>
        <v>16</v>
      </c>
      <c r="G104" s="3">
        <f t="array" ref="G104">SUM(IF(G$2:G$99=$A104,1))</f>
        <v>9</v>
      </c>
      <c r="H104" s="3">
        <f t="array" ref="H104">SUM(IF(H$2:H$99=$A104,1))</f>
        <v>10</v>
      </c>
      <c r="I104" s="3">
        <f t="array" ref="I104">SUM(IF(I$2:I$99=$A104,1))</f>
        <v>12</v>
      </c>
      <c r="J104" s="3">
        <f t="array" ref="J104">SUM(IF(J$2:J$99=$A104,1))</f>
        <v>22</v>
      </c>
      <c r="K104" s="3">
        <f t="array" ref="K104">SUM(IF(K$2:K$99=$A104,1))</f>
        <v>0</v>
      </c>
      <c r="L104" s="3">
        <f t="array" ref="L104">SUM(IF(L$2:L$99=$A104,1))</f>
        <v>0</v>
      </c>
      <c r="M104" s="3">
        <f t="array" ref="M104">SUM(IF(M$2:M$99=$A104,1))</f>
        <v>0</v>
      </c>
      <c r="N104" s="3">
        <f t="array" ref="N104">SUM(IF(N$2:N$99=$A104,1))</f>
        <v>0</v>
      </c>
      <c r="O104" s="3">
        <f t="array" ref="O104">SUM(IF(O$2:O$99=$A104,1))</f>
        <v>0</v>
      </c>
      <c r="P104" s="3">
        <f t="array" ref="P104">SUM(IF(P$2:P$99=$A104,1))</f>
        <v>0</v>
      </c>
      <c r="Q104" s="3">
        <f t="array" ref="Q104">SUM(IF(Q$2:Q$99=$A104,1))</f>
        <v>0</v>
      </c>
      <c r="R104" s="3">
        <f t="array" ref="R104">SUM(IF(R$2:R$99=$A104,1))</f>
        <v>0</v>
      </c>
      <c r="S104" s="3">
        <f t="array" ref="S104">SUM(IF(S$2:S$99=$A104,1))</f>
        <v>2</v>
      </c>
      <c r="T104" s="3">
        <f t="array" ref="T104">SUM(IF(T$2:T$99=$A104,1))</f>
        <v>4</v>
      </c>
      <c r="U104" s="38" t="s">
        <v>15</v>
      </c>
    </row>
    <row r="105">
      <c r="A105" s="2" t="s">
        <v>16</v>
      </c>
      <c r="B105" s="3">
        <f t="array" ref="B105">SUM(IF(B$2:B$99=$A105,1))</f>
        <v>19</v>
      </c>
      <c r="C105" s="3">
        <f t="array" ref="C105">SUM(IF(C$2:C$99=$A105,1))</f>
        <v>0</v>
      </c>
      <c r="D105" s="3">
        <f t="array" ref="D105">SUM(IF(D$2:D$99=$A105,1))</f>
        <v>7</v>
      </c>
      <c r="E105" s="3">
        <f t="array" ref="E105">SUM(IF(E$2:E$99=$A105,1))</f>
        <v>1</v>
      </c>
      <c r="F105" s="3">
        <f t="array" ref="F105">SUM(IF(F$2:F$99=$A105,1))</f>
        <v>36</v>
      </c>
      <c r="G105" s="3">
        <f t="array" ref="G105">SUM(IF(G$2:G$99=$A105,1))</f>
        <v>10</v>
      </c>
      <c r="H105" s="3">
        <f t="array" ref="H105">SUM(IF(H$2:H$99=$A105,1))</f>
        <v>6</v>
      </c>
      <c r="I105" s="3">
        <f t="array" ref="I105">SUM(IF(I$2:I$99=$A105,1))</f>
        <v>15</v>
      </c>
      <c r="J105" s="3">
        <f t="array" ref="J105">SUM(IF(J$2:J$99=$A105,1))</f>
        <v>21</v>
      </c>
      <c r="K105" s="3">
        <f t="array" ref="K105">SUM(IF(K$2:K$99=$A105,1))</f>
        <v>0</v>
      </c>
      <c r="L105" s="3">
        <f t="array" ref="L105">SUM(IF(L$2:L$99=$A105,1))</f>
        <v>0</v>
      </c>
      <c r="M105" s="3">
        <f t="array" ref="M105">SUM(IF(M$2:M$99=$A105,1))</f>
        <v>0</v>
      </c>
      <c r="N105" s="3">
        <f t="array" ref="N105">SUM(IF(N$2:N$99=$A105,1))</f>
        <v>0</v>
      </c>
      <c r="O105" s="3">
        <f t="array" ref="O105">SUM(IF(O$2:O$99=$A105,1))</f>
        <v>1</v>
      </c>
      <c r="P105" s="3">
        <f t="array" ref="P105">SUM(IF(P$2:P$99=$A105,1))</f>
        <v>1</v>
      </c>
      <c r="Q105" s="3">
        <f t="array" ref="Q105">SUM(IF(Q$2:Q$99=$A105,1))</f>
        <v>0</v>
      </c>
      <c r="R105" s="3">
        <f t="array" ref="R105">SUM(IF(R$2:R$99=$A105,1))</f>
        <v>0</v>
      </c>
      <c r="S105" s="3">
        <f t="array" ref="S105">SUM(IF(S$2:S$99=$A105,1))</f>
        <v>0</v>
      </c>
      <c r="T105" s="3">
        <f t="array" ref="T105">SUM(IF(T$2:T$99=$A105,1))</f>
        <v>7</v>
      </c>
      <c r="U105" s="38" t="s">
        <v>16</v>
      </c>
    </row>
    <row r="106">
      <c r="A106" s="4" t="s">
        <v>129</v>
      </c>
      <c r="B106" s="4">
        <f t="shared" ref="B106:T106" si="2">B103+B104*2+B105*3</f>
        <v>103</v>
      </c>
      <c r="C106" s="4">
        <f t="shared" si="2"/>
        <v>0</v>
      </c>
      <c r="D106" s="4">
        <f t="shared" si="2"/>
        <v>46</v>
      </c>
      <c r="E106" s="4">
        <f t="shared" si="2"/>
        <v>10</v>
      </c>
      <c r="F106" s="4">
        <f t="shared" si="2"/>
        <v>149</v>
      </c>
      <c r="G106" s="4">
        <f t="shared" si="2"/>
        <v>52</v>
      </c>
      <c r="H106" s="4">
        <f t="shared" si="2"/>
        <v>48</v>
      </c>
      <c r="I106" s="4">
        <f t="shared" si="2"/>
        <v>83</v>
      </c>
      <c r="J106" s="4">
        <f t="shared" si="2"/>
        <v>117</v>
      </c>
      <c r="K106" s="4">
        <f t="shared" si="2"/>
        <v>0</v>
      </c>
      <c r="L106" s="4">
        <f t="shared" si="2"/>
        <v>0</v>
      </c>
      <c r="M106" s="4">
        <f t="shared" si="2"/>
        <v>0</v>
      </c>
      <c r="N106" s="4">
        <f t="shared" si="2"/>
        <v>0</v>
      </c>
      <c r="O106" s="4">
        <f t="shared" si="2"/>
        <v>3</v>
      </c>
      <c r="P106" s="4">
        <f t="shared" si="2"/>
        <v>3</v>
      </c>
      <c r="Q106" s="4">
        <f t="shared" si="2"/>
        <v>0</v>
      </c>
      <c r="R106" s="4">
        <f t="shared" si="2"/>
        <v>0</v>
      </c>
      <c r="S106" s="4">
        <f t="shared" si="2"/>
        <v>4</v>
      </c>
      <c r="T106" s="4">
        <f t="shared" si="2"/>
        <v>31</v>
      </c>
      <c r="U106" s="39" t="s">
        <v>129</v>
      </c>
    </row>
    <row r="107">
      <c r="A107" s="2" t="s">
        <v>130</v>
      </c>
      <c r="B107" s="11">
        <f t="shared" ref="B107:T107" si="3">IF(B100+B103+B104+B105&lt;&gt;0,B106/(B100+B103+B104+B105),0)</f>
        <v>2.191489362</v>
      </c>
      <c r="C107" s="11">
        <f t="shared" si="3"/>
        <v>0</v>
      </c>
      <c r="D107" s="11">
        <f t="shared" si="3"/>
        <v>2.090909091</v>
      </c>
      <c r="E107" s="11">
        <f t="shared" si="3"/>
        <v>2</v>
      </c>
      <c r="F107" s="11">
        <f t="shared" si="3"/>
        <v>2.442622951</v>
      </c>
      <c r="G107" s="11">
        <f t="shared" si="3"/>
        <v>2.260869565</v>
      </c>
      <c r="H107" s="11">
        <f t="shared" si="3"/>
        <v>1.846153846</v>
      </c>
      <c r="I107" s="11">
        <f t="shared" si="3"/>
        <v>1.976190476</v>
      </c>
      <c r="J107" s="11">
        <f t="shared" si="3"/>
        <v>2.20754717</v>
      </c>
      <c r="K107" s="11">
        <f t="shared" si="3"/>
        <v>0</v>
      </c>
      <c r="L107" s="11">
        <f t="shared" si="3"/>
        <v>0</v>
      </c>
      <c r="M107" s="11">
        <f t="shared" si="3"/>
        <v>0</v>
      </c>
      <c r="N107" s="11">
        <f t="shared" si="3"/>
        <v>0</v>
      </c>
      <c r="O107" s="11">
        <f t="shared" si="3"/>
        <v>3</v>
      </c>
      <c r="P107" s="11">
        <f t="shared" si="3"/>
        <v>3</v>
      </c>
      <c r="Q107" s="11">
        <f t="shared" si="3"/>
        <v>0</v>
      </c>
      <c r="R107" s="11">
        <f t="shared" si="3"/>
        <v>0</v>
      </c>
      <c r="S107" s="11">
        <f t="shared" si="3"/>
        <v>2</v>
      </c>
      <c r="T107" s="11">
        <f t="shared" si="3"/>
        <v>2.384615385</v>
      </c>
      <c r="U107" s="38" t="s">
        <v>130</v>
      </c>
    </row>
    <row r="108">
      <c r="A108" s="2" t="s">
        <v>363</v>
      </c>
      <c r="B108" s="2">
        <f t="shared" ref="B108:T108" si="4">B105+B104+B103</f>
        <v>47</v>
      </c>
      <c r="C108" s="2">
        <f t="shared" si="4"/>
        <v>0</v>
      </c>
      <c r="D108" s="2">
        <f t="shared" si="4"/>
        <v>22</v>
      </c>
      <c r="E108" s="2">
        <f t="shared" si="4"/>
        <v>5</v>
      </c>
      <c r="F108" s="2">
        <f t="shared" si="4"/>
        <v>61</v>
      </c>
      <c r="G108" s="2">
        <f t="shared" si="4"/>
        <v>23</v>
      </c>
      <c r="H108" s="2">
        <f t="shared" si="4"/>
        <v>26</v>
      </c>
      <c r="I108" s="2">
        <f t="shared" si="4"/>
        <v>41</v>
      </c>
      <c r="J108" s="2">
        <f t="shared" si="4"/>
        <v>53</v>
      </c>
      <c r="K108" s="2">
        <f t="shared" si="4"/>
        <v>0</v>
      </c>
      <c r="L108" s="2">
        <f t="shared" si="4"/>
        <v>0</v>
      </c>
      <c r="M108" s="2">
        <f t="shared" si="4"/>
        <v>0</v>
      </c>
      <c r="N108" s="2">
        <f t="shared" si="4"/>
        <v>0</v>
      </c>
      <c r="O108" s="2">
        <f t="shared" si="4"/>
        <v>1</v>
      </c>
      <c r="P108" s="2">
        <f t="shared" si="4"/>
        <v>1</v>
      </c>
      <c r="Q108" s="2">
        <f t="shared" si="4"/>
        <v>0</v>
      </c>
      <c r="R108" s="2">
        <f t="shared" si="4"/>
        <v>0</v>
      </c>
      <c r="S108" s="2">
        <f t="shared" si="4"/>
        <v>2</v>
      </c>
      <c r="T108" s="2">
        <f t="shared" si="4"/>
        <v>13</v>
      </c>
      <c r="U108" s="38" t="s">
        <v>363</v>
      </c>
    </row>
    <row r="109">
      <c r="A109" s="2" t="s">
        <v>131</v>
      </c>
      <c r="B109" s="3">
        <f t="shared" ref="B109:T109" si="5">B102+B101</f>
        <v>47</v>
      </c>
      <c r="C109" s="3">
        <f t="shared" si="5"/>
        <v>0</v>
      </c>
      <c r="D109" s="3">
        <f t="shared" si="5"/>
        <v>22</v>
      </c>
      <c r="E109" s="3">
        <f t="shared" si="5"/>
        <v>6</v>
      </c>
      <c r="F109" s="3">
        <f t="shared" si="5"/>
        <v>61</v>
      </c>
      <c r="G109" s="3">
        <f t="shared" si="5"/>
        <v>24</v>
      </c>
      <c r="H109" s="3">
        <f t="shared" si="5"/>
        <v>26</v>
      </c>
      <c r="I109" s="3">
        <f t="shared" si="5"/>
        <v>42</v>
      </c>
      <c r="J109" s="3">
        <f t="shared" si="5"/>
        <v>53</v>
      </c>
      <c r="K109" s="3">
        <f t="shared" si="5"/>
        <v>1</v>
      </c>
      <c r="L109" s="3">
        <f t="shared" si="5"/>
        <v>1</v>
      </c>
      <c r="M109" s="3">
        <f t="shared" si="5"/>
        <v>1</v>
      </c>
      <c r="N109" s="3">
        <f t="shared" si="5"/>
        <v>1</v>
      </c>
      <c r="O109" s="3">
        <f t="shared" si="5"/>
        <v>2</v>
      </c>
      <c r="P109" s="3">
        <f t="shared" si="5"/>
        <v>2</v>
      </c>
      <c r="Q109" s="3">
        <f t="shared" si="5"/>
        <v>1</v>
      </c>
      <c r="R109" s="3">
        <f t="shared" si="5"/>
        <v>1</v>
      </c>
      <c r="S109" s="3">
        <f t="shared" si="5"/>
        <v>3</v>
      </c>
      <c r="T109" s="3">
        <f t="shared" si="5"/>
        <v>14</v>
      </c>
      <c r="U109" s="38" t="s">
        <v>131</v>
      </c>
    </row>
    <row r="110">
      <c r="U110" s="38"/>
    </row>
    <row r="111">
      <c r="A111" s="2" t="s">
        <v>132</v>
      </c>
      <c r="B111" s="3">
        <f>B106+G106+J106+I106</f>
        <v>355</v>
      </c>
      <c r="D111" s="2" t="s">
        <v>544</v>
      </c>
      <c r="E111" s="12">
        <f>B106+G106</f>
        <v>155</v>
      </c>
      <c r="G111" s="2" t="s">
        <v>134</v>
      </c>
      <c r="H111" s="3">
        <f>I106+J106</f>
        <v>200</v>
      </c>
      <c r="J111" s="2" t="s">
        <v>135</v>
      </c>
      <c r="K111" s="3">
        <f>B102+G102+I102+J102</f>
        <v>165</v>
      </c>
      <c r="M111" s="2" t="s">
        <v>136</v>
      </c>
      <c r="N111" s="11">
        <f t="shared" ref="N111:N113" si="6">B111/K111</f>
        <v>2.151515152</v>
      </c>
      <c r="U111" s="38"/>
    </row>
    <row r="112">
      <c r="A112" s="2" t="s">
        <v>137</v>
      </c>
      <c r="B112" s="3">
        <f>C106+E106+H106+L106+M106</f>
        <v>58</v>
      </c>
      <c r="D112" s="2" t="s">
        <v>138</v>
      </c>
      <c r="E112" s="3">
        <f>M106+L106</f>
        <v>0</v>
      </c>
      <c r="G112" s="2" t="s">
        <v>139</v>
      </c>
      <c r="H112" s="3">
        <f>C106+E106+H106</f>
        <v>58</v>
      </c>
      <c r="J112" s="2" t="s">
        <v>135</v>
      </c>
      <c r="K112" s="3">
        <f>C102+E102+H102+L102+M102</f>
        <v>31</v>
      </c>
      <c r="M112" s="2" t="s">
        <v>136</v>
      </c>
      <c r="N112" s="11">
        <f t="shared" si="6"/>
        <v>1.870967742</v>
      </c>
      <c r="U112" s="38"/>
    </row>
    <row r="113">
      <c r="A113" s="2" t="s">
        <v>140</v>
      </c>
      <c r="B113" s="3">
        <f>D106+F106+K106+N106</f>
        <v>195</v>
      </c>
      <c r="D113" s="2" t="s">
        <v>141</v>
      </c>
      <c r="E113" s="3">
        <f>K106+N106</f>
        <v>0</v>
      </c>
      <c r="G113" s="2" t="s">
        <v>142</v>
      </c>
      <c r="H113" s="3">
        <f>D106+F106</f>
        <v>195</v>
      </c>
      <c r="J113" s="2" t="s">
        <v>135</v>
      </c>
      <c r="K113" s="3">
        <f>D102+F102+K102+N102</f>
        <v>83</v>
      </c>
      <c r="M113" s="2" t="s">
        <v>136</v>
      </c>
      <c r="N113" s="11">
        <f t="shared" si="6"/>
        <v>2.34939759</v>
      </c>
      <c r="U113" s="38"/>
    </row>
    <row r="114">
      <c r="U114" s="38"/>
    </row>
    <row r="115">
      <c r="A115" s="20"/>
      <c r="B115" s="3" t="str">
        <f t="shared" ref="B115:R115" si="7">B1</f>
        <v>David</v>
      </c>
      <c r="C115" s="3" t="str">
        <f t="shared" si="7"/>
        <v>Carlos</v>
      </c>
      <c r="D115" s="3" t="str">
        <f t="shared" si="7"/>
        <v>Laura</v>
      </c>
      <c r="E115" s="3" t="str">
        <f t="shared" si="7"/>
        <v>Jorge</v>
      </c>
      <c r="F115" s="3" t="str">
        <f t="shared" si="7"/>
        <v>Sergio</v>
      </c>
      <c r="G115" s="3" t="str">
        <f t="shared" si="7"/>
        <v>Poli</v>
      </c>
      <c r="H115" s="3" t="str">
        <f t="shared" si="7"/>
        <v>Nuria</v>
      </c>
      <c r="I115" s="3" t="str">
        <f t="shared" si="7"/>
        <v>Sara</v>
      </c>
      <c r="J115" s="3" t="str">
        <f t="shared" si="7"/>
        <v>Dario</v>
      </c>
      <c r="K115" s="3" t="str">
        <f t="shared" si="7"/>
        <v>Pedro</v>
      </c>
      <c r="L115" s="3" t="str">
        <f t="shared" si="7"/>
        <v>Inés</v>
      </c>
      <c r="M115" s="3" t="str">
        <f t="shared" si="7"/>
        <v>Chema</v>
      </c>
      <c r="N115" s="3" t="str">
        <f t="shared" si="7"/>
        <v>Maite</v>
      </c>
      <c r="O115" s="3" t="str">
        <f t="shared" si="7"/>
        <v>Anuncia</v>
      </c>
      <c r="P115" s="3" t="str">
        <f t="shared" si="7"/>
        <v>Roberto</v>
      </c>
      <c r="Q115" s="3" t="str">
        <f t="shared" si="7"/>
        <v>Hana</v>
      </c>
      <c r="R115" s="3" t="str">
        <f t="shared" si="7"/>
        <v>Antonio</v>
      </c>
      <c r="S115" s="3" t="s">
        <v>472</v>
      </c>
      <c r="T115" s="3" t="s">
        <v>515</v>
      </c>
      <c r="U115" s="40"/>
    </row>
    <row r="116">
      <c r="U116" s="38"/>
    </row>
    <row r="117">
      <c r="A117" s="21" t="s">
        <v>143</v>
      </c>
      <c r="B117" s="21">
        <f>H111+H112+H113</f>
        <v>453</v>
      </c>
      <c r="E117" s="21" t="s">
        <v>144</v>
      </c>
      <c r="F117" s="22">
        <f>E111+E112+E113</f>
        <v>155</v>
      </c>
      <c r="U117" s="38"/>
    </row>
    <row r="118">
      <c r="U118" s="38"/>
    </row>
    <row r="119">
      <c r="A119" s="5" t="s">
        <v>145</v>
      </c>
      <c r="B119" s="5" t="s">
        <v>4</v>
      </c>
      <c r="U119" s="38"/>
    </row>
    <row r="120">
      <c r="U120" s="38"/>
    </row>
    <row r="121">
      <c r="A121" s="2" t="s">
        <v>69</v>
      </c>
      <c r="O121" s="2" t="s">
        <v>310</v>
      </c>
      <c r="U121" s="38" t="s">
        <v>69</v>
      </c>
    </row>
    <row r="122">
      <c r="A122" s="2" t="s">
        <v>311</v>
      </c>
      <c r="B122" s="2">
        <f>'2024'!B122+B106</f>
        <v>1294.75</v>
      </c>
      <c r="C122" s="2">
        <f>'2024'!C122+C106</f>
        <v>459.5</v>
      </c>
      <c r="D122" s="2">
        <f>'2024'!D122+D106</f>
        <v>564</v>
      </c>
      <c r="E122" s="2">
        <f>'2024'!E122+E106</f>
        <v>581.25</v>
      </c>
      <c r="F122" s="2">
        <f>'2024'!F122+F106</f>
        <v>1589.25</v>
      </c>
      <c r="G122" s="2">
        <f>'2024'!G122+G106</f>
        <v>459</v>
      </c>
      <c r="H122" s="2">
        <f>'2024'!H122+H106</f>
        <v>591.25</v>
      </c>
      <c r="I122" s="2">
        <f>'2024'!I122+I106</f>
        <v>745.5</v>
      </c>
      <c r="J122" s="2">
        <f>'2024'!J122+J106</f>
        <v>767</v>
      </c>
      <c r="K122" s="2">
        <f>'2024'!K122+K106</f>
        <v>256</v>
      </c>
      <c r="L122" s="2">
        <f>'2024'!L122+L106</f>
        <v>99</v>
      </c>
      <c r="M122" s="2">
        <f>'2024'!M122+M106</f>
        <v>86</v>
      </c>
      <c r="N122" s="2">
        <f>'2024'!N122+N106</f>
        <v>33</v>
      </c>
      <c r="O122" s="2">
        <f>'2024'!O122+O106</f>
        <v>63.25</v>
      </c>
      <c r="P122" s="2" t="s">
        <v>376</v>
      </c>
      <c r="Q122" s="2">
        <f>'2024'!Q122+Q106</f>
        <v>48</v>
      </c>
      <c r="R122" s="2">
        <f>'2024'!R122+R106</f>
        <v>94</v>
      </c>
      <c r="S122" s="2">
        <f>'2024'!S122+S106</f>
        <v>22</v>
      </c>
      <c r="T122" s="2">
        <f>'2024'!T122+T106</f>
        <v>93</v>
      </c>
      <c r="U122" s="38" t="s">
        <v>311</v>
      </c>
    </row>
    <row r="123">
      <c r="U123" s="38"/>
    </row>
    <row r="124">
      <c r="A124" s="16" t="s">
        <v>85</v>
      </c>
      <c r="B124" s="16">
        <v>3.0</v>
      </c>
      <c r="C124" s="16">
        <v>2.0</v>
      </c>
      <c r="D124" s="16">
        <v>0.0</v>
      </c>
      <c r="E124" s="16">
        <v>1.0</v>
      </c>
      <c r="F124" s="53">
        <v>12.0</v>
      </c>
      <c r="G124" s="16">
        <v>0.0</v>
      </c>
      <c r="H124" s="16">
        <v>0.0</v>
      </c>
      <c r="I124" s="16">
        <v>0.0</v>
      </c>
      <c r="J124" s="16">
        <v>0.0</v>
      </c>
      <c r="K124" s="16">
        <v>0.0</v>
      </c>
      <c r="L124" s="16">
        <v>0.0</v>
      </c>
      <c r="M124" s="16">
        <v>0.0</v>
      </c>
      <c r="N124" s="16">
        <v>0.0</v>
      </c>
      <c r="O124" s="16">
        <v>0.0</v>
      </c>
      <c r="P124" s="2" t="s">
        <v>376</v>
      </c>
      <c r="Q124" s="3">
        <v>0.0</v>
      </c>
      <c r="R124" s="3">
        <v>0.0</v>
      </c>
      <c r="S124" s="16" t="s">
        <v>85</v>
      </c>
      <c r="U124" s="38"/>
    </row>
    <row r="125">
      <c r="F125" s="54" t="s">
        <v>611</v>
      </c>
      <c r="U125" s="38"/>
    </row>
    <row r="126">
      <c r="A126" s="3" t="s">
        <v>365</v>
      </c>
      <c r="C126" s="3">
        <f>'2023'!C126+C109</f>
        <v>810</v>
      </c>
      <c r="U126" s="38"/>
    </row>
    <row r="128">
      <c r="A128" s="50">
        <v>2025.0</v>
      </c>
      <c r="B128" s="3" t="s">
        <v>0</v>
      </c>
      <c r="C128" s="3" t="s">
        <v>1</v>
      </c>
      <c r="D128" s="16" t="s">
        <v>2</v>
      </c>
      <c r="E128" s="3" t="s">
        <v>3</v>
      </c>
      <c r="F128" s="16" t="s">
        <v>4</v>
      </c>
      <c r="G128" s="16" t="s">
        <v>5</v>
      </c>
      <c r="H128" s="16" t="s">
        <v>6</v>
      </c>
      <c r="I128" s="16" t="s">
        <v>7</v>
      </c>
      <c r="J128" s="16" t="s">
        <v>8</v>
      </c>
      <c r="K128" s="16" t="s">
        <v>9</v>
      </c>
      <c r="L128" s="16" t="s">
        <v>10</v>
      </c>
      <c r="M128" s="3" t="s">
        <v>11</v>
      </c>
      <c r="N128" s="3" t="s">
        <v>12</v>
      </c>
      <c r="O128" s="16" t="s">
        <v>150</v>
      </c>
      <c r="P128" s="3" t="s">
        <v>151</v>
      </c>
      <c r="Q128" s="3" t="s">
        <v>345</v>
      </c>
      <c r="R128" s="3" t="s">
        <v>413</v>
      </c>
      <c r="S128" s="3" t="s">
        <v>472</v>
      </c>
      <c r="T128" s="3" t="s">
        <v>515</v>
      </c>
      <c r="U128" s="50">
        <v>2025.0</v>
      </c>
    </row>
    <row r="132">
      <c r="A132" s="2" t="s">
        <v>144</v>
      </c>
      <c r="B132" s="2" t="s">
        <v>307</v>
      </c>
    </row>
    <row r="133">
      <c r="A133" s="2" t="s">
        <v>308</v>
      </c>
      <c r="B133" s="2" t="s">
        <v>545</v>
      </c>
    </row>
  </sheetData>
  <conditionalFormatting sqref="B100:T107 N111:N113">
    <cfRule type="cellIs" dxfId="0" priority="1" stopIfTrue="1" operator="equal">
      <formula>"PLATA"</formula>
    </cfRule>
  </conditionalFormatting>
  <conditionalFormatting sqref="B100:T107 N111:N113">
    <cfRule type="cellIs" dxfId="1" priority="2" stopIfTrue="1" operator="equal">
      <formula>"ORO"</formula>
    </cfRule>
  </conditionalFormatting>
  <conditionalFormatting sqref="B100:T107 N111:N113">
    <cfRule type="cellIs" dxfId="2" priority="3" stopIfTrue="1" operator="equal">
      <formula>"BRONCE"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3.38"/>
    <col customWidth="1" min="2" max="29" width="10.75"/>
  </cols>
  <sheetData>
    <row r="1" ht="12.75" customHeight="1">
      <c r="A1" s="24" t="s">
        <v>612</v>
      </c>
      <c r="B1" s="3" t="s">
        <v>0</v>
      </c>
      <c r="C1" s="3" t="s">
        <v>1</v>
      </c>
      <c r="D1" s="16" t="s">
        <v>2</v>
      </c>
      <c r="E1" s="3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3" t="s">
        <v>11</v>
      </c>
      <c r="N1" s="3" t="s">
        <v>12</v>
      </c>
      <c r="O1" s="16" t="s">
        <v>150</v>
      </c>
      <c r="P1" s="16" t="s">
        <v>151</v>
      </c>
      <c r="Q1" s="3" t="s">
        <v>345</v>
      </c>
      <c r="R1" s="3" t="s">
        <v>413</v>
      </c>
      <c r="S1" s="3" t="s">
        <v>472</v>
      </c>
      <c r="T1" s="3" t="s">
        <v>515</v>
      </c>
      <c r="U1" s="24" t="str">
        <f>A1</f>
        <v>CATAN</v>
      </c>
    </row>
    <row r="2" ht="12.75" customHeight="1">
      <c r="A2" s="55">
        <v>2025.0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56"/>
      <c r="V2" s="2"/>
      <c r="W2" s="2"/>
      <c r="X2" s="2"/>
      <c r="Y2" s="2"/>
      <c r="Z2" s="2"/>
      <c r="AA2" s="2"/>
      <c r="AB2" s="2"/>
      <c r="AC2" s="2"/>
    </row>
    <row r="3" ht="12.75" customHeight="1">
      <c r="A3" s="51" t="s">
        <v>91</v>
      </c>
      <c r="D3" s="51" t="s">
        <v>15</v>
      </c>
      <c r="F3" s="51" t="s">
        <v>16</v>
      </c>
      <c r="H3" s="51" t="s">
        <v>15</v>
      </c>
      <c r="U3" s="52">
        <v>45875.0</v>
      </c>
      <c r="AA3" s="2"/>
      <c r="AB3" s="2"/>
      <c r="AC3" s="2"/>
    </row>
    <row r="4" ht="12.75" customHeight="1">
      <c r="A4" s="3">
        <v>2024.0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56"/>
      <c r="V4" s="2"/>
      <c r="W4" s="2"/>
      <c r="X4" s="2"/>
      <c r="Y4" s="2"/>
      <c r="Z4" s="2"/>
      <c r="AA4" s="2"/>
      <c r="AB4" s="2"/>
      <c r="AC4" s="2"/>
    </row>
    <row r="5" ht="12.75" customHeight="1">
      <c r="A5" s="3" t="s">
        <v>91</v>
      </c>
      <c r="B5" s="2" t="s">
        <v>16</v>
      </c>
      <c r="C5" s="2" t="s">
        <v>90</v>
      </c>
      <c r="D5" s="2" t="s">
        <v>17</v>
      </c>
      <c r="E5" s="2" t="s">
        <v>90</v>
      </c>
      <c r="F5" s="2" t="s">
        <v>17</v>
      </c>
      <c r="G5" s="2" t="s">
        <v>15</v>
      </c>
      <c r="H5" s="2" t="s">
        <v>89</v>
      </c>
      <c r="I5" s="2" t="s">
        <v>15</v>
      </c>
      <c r="J5" s="2" t="s">
        <v>17</v>
      </c>
      <c r="K5" s="2" t="s">
        <v>90</v>
      </c>
      <c r="L5" s="2" t="s">
        <v>90</v>
      </c>
      <c r="M5" s="2" t="s">
        <v>90</v>
      </c>
      <c r="N5" s="2" t="s">
        <v>90</v>
      </c>
      <c r="O5" s="2" t="s">
        <v>90</v>
      </c>
      <c r="P5" s="2" t="s">
        <v>90</v>
      </c>
      <c r="Q5" s="2" t="s">
        <v>90</v>
      </c>
      <c r="R5" s="2" t="s">
        <v>90</v>
      </c>
      <c r="S5" s="2" t="s">
        <v>90</v>
      </c>
      <c r="T5" s="2" t="s">
        <v>90</v>
      </c>
      <c r="U5" s="56"/>
      <c r="AC5" s="2"/>
    </row>
    <row r="6" ht="12.75" customHeight="1">
      <c r="A6" s="3" t="s">
        <v>91</v>
      </c>
      <c r="B6" s="2" t="s">
        <v>15</v>
      </c>
      <c r="C6" s="2" t="s">
        <v>90</v>
      </c>
      <c r="D6" s="2" t="s">
        <v>16</v>
      </c>
      <c r="E6" s="2" t="s">
        <v>90</v>
      </c>
      <c r="F6" s="2" t="s">
        <v>16</v>
      </c>
      <c r="G6" s="2" t="s">
        <v>15</v>
      </c>
      <c r="H6" s="2" t="s">
        <v>17</v>
      </c>
      <c r="I6" s="2" t="s">
        <v>17</v>
      </c>
      <c r="J6" s="2" t="s">
        <v>15</v>
      </c>
      <c r="K6" s="2" t="s">
        <v>90</v>
      </c>
      <c r="L6" s="2" t="s">
        <v>17</v>
      </c>
      <c r="M6" s="2" t="s">
        <v>90</v>
      </c>
      <c r="N6" s="2" t="s">
        <v>90</v>
      </c>
      <c r="O6" s="2" t="s">
        <v>90</v>
      </c>
      <c r="P6" s="2" t="s">
        <v>90</v>
      </c>
      <c r="Q6" s="2" t="s">
        <v>90</v>
      </c>
      <c r="R6" s="2" t="s">
        <v>90</v>
      </c>
      <c r="S6" s="2" t="s">
        <v>90</v>
      </c>
      <c r="T6" s="2" t="s">
        <v>90</v>
      </c>
      <c r="U6" s="56"/>
      <c r="AC6" s="2"/>
    </row>
    <row r="7" ht="12.75" customHeight="1">
      <c r="A7" s="3">
        <v>2023.0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56"/>
      <c r="V7" s="2"/>
      <c r="W7" s="2"/>
      <c r="X7" s="2"/>
      <c r="Y7" s="2"/>
      <c r="Z7" s="2"/>
      <c r="AA7" s="2"/>
      <c r="AB7" s="2"/>
      <c r="AC7" s="2"/>
    </row>
    <row r="8" ht="12.75" customHeight="1">
      <c r="A8" s="3" t="s">
        <v>91</v>
      </c>
      <c r="B8" s="2" t="s">
        <v>15</v>
      </c>
      <c r="C8" s="2" t="s">
        <v>90</v>
      </c>
      <c r="D8" s="2" t="s">
        <v>16</v>
      </c>
      <c r="E8" s="2"/>
      <c r="F8" s="2" t="s">
        <v>15</v>
      </c>
      <c r="G8" s="2"/>
      <c r="H8" s="2" t="s">
        <v>16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15</v>
      </c>
      <c r="U8" s="56"/>
      <c r="V8" s="2"/>
      <c r="W8" s="2"/>
      <c r="X8" s="2"/>
      <c r="Y8" s="2"/>
      <c r="Z8" s="2"/>
      <c r="AA8" s="2"/>
      <c r="AB8" s="2"/>
      <c r="AC8" s="2"/>
    </row>
    <row r="9" ht="12.75" customHeight="1">
      <c r="A9" s="3" t="s">
        <v>91</v>
      </c>
      <c r="B9" s="2" t="s">
        <v>15</v>
      </c>
      <c r="C9" s="2" t="s">
        <v>15</v>
      </c>
      <c r="D9" s="2" t="s">
        <v>15</v>
      </c>
      <c r="E9" s="2"/>
      <c r="F9" s="2" t="s">
        <v>16</v>
      </c>
      <c r="G9" s="2"/>
      <c r="H9" s="2"/>
      <c r="I9" s="2"/>
      <c r="J9" s="2" t="s">
        <v>15</v>
      </c>
      <c r="K9" s="2"/>
      <c r="L9" s="2"/>
      <c r="M9" s="2"/>
      <c r="N9" s="2"/>
      <c r="O9" s="2"/>
      <c r="P9" s="2"/>
      <c r="Q9" s="2" t="s">
        <v>15</v>
      </c>
      <c r="R9" s="2" t="s">
        <v>15</v>
      </c>
      <c r="S9" s="2"/>
      <c r="T9" s="2" t="s">
        <v>16</v>
      </c>
      <c r="U9" s="56"/>
      <c r="V9" s="2"/>
      <c r="W9" s="2"/>
      <c r="X9" s="2"/>
      <c r="Y9" s="2"/>
      <c r="Z9" s="2"/>
      <c r="AA9" s="2"/>
      <c r="AB9" s="2"/>
      <c r="AC9" s="2"/>
    </row>
    <row r="10" ht="12.75" customHeight="1">
      <c r="A10" s="2">
        <v>2022.0</v>
      </c>
      <c r="T10" s="57"/>
      <c r="U10" s="56"/>
    </row>
    <row r="11" ht="12.75" customHeight="1">
      <c r="A11" s="3" t="s">
        <v>91</v>
      </c>
      <c r="B11" s="2" t="s">
        <v>17</v>
      </c>
      <c r="C11" s="2" t="s">
        <v>90</v>
      </c>
      <c r="D11" s="2" t="s">
        <v>90</v>
      </c>
      <c r="E11" s="2" t="s">
        <v>15</v>
      </c>
      <c r="F11" s="2" t="s">
        <v>16</v>
      </c>
      <c r="G11" s="2" t="s">
        <v>17</v>
      </c>
      <c r="H11" s="2" t="s">
        <v>17</v>
      </c>
      <c r="I11" s="34" t="s">
        <v>89</v>
      </c>
      <c r="J11" s="34" t="s">
        <v>89</v>
      </c>
      <c r="K11" s="2" t="s">
        <v>17</v>
      </c>
      <c r="L11" s="34"/>
      <c r="M11" s="2" t="s">
        <v>90</v>
      </c>
      <c r="N11" s="2" t="s">
        <v>90</v>
      </c>
      <c r="O11" s="34"/>
      <c r="Q11" s="2" t="s">
        <v>90</v>
      </c>
      <c r="R11" s="2" t="s">
        <v>90</v>
      </c>
      <c r="S11" s="2" t="s">
        <v>15</v>
      </c>
      <c r="T11" s="57"/>
      <c r="U11" s="58"/>
    </row>
    <row r="12" ht="12.75" customHeight="1">
      <c r="A12" s="3" t="s">
        <v>91</v>
      </c>
      <c r="B12" s="2" t="s">
        <v>15</v>
      </c>
      <c r="C12" s="2" t="s">
        <v>90</v>
      </c>
      <c r="D12" s="2" t="s">
        <v>90</v>
      </c>
      <c r="F12" s="2" t="s">
        <v>16</v>
      </c>
      <c r="G12" s="34"/>
      <c r="H12" s="35"/>
      <c r="I12" s="34" t="s">
        <v>89</v>
      </c>
      <c r="J12" s="2" t="s">
        <v>17</v>
      </c>
      <c r="K12" s="35"/>
      <c r="M12" s="2" t="s">
        <v>90</v>
      </c>
      <c r="N12" s="2" t="s">
        <v>90</v>
      </c>
      <c r="O12" s="34"/>
      <c r="Q12" s="2" t="s">
        <v>90</v>
      </c>
      <c r="R12" s="2" t="s">
        <v>90</v>
      </c>
      <c r="T12" s="57"/>
      <c r="U12" s="58"/>
    </row>
    <row r="13" ht="12.75" customHeight="1">
      <c r="A13" s="2">
        <v>2021.0</v>
      </c>
      <c r="S13" s="57"/>
      <c r="T13" s="57"/>
      <c r="U13" s="56"/>
    </row>
    <row r="14" ht="12.75" customHeight="1">
      <c r="A14" s="3" t="s">
        <v>91</v>
      </c>
      <c r="B14" s="2" t="s">
        <v>15</v>
      </c>
      <c r="C14" s="2" t="s">
        <v>17</v>
      </c>
      <c r="D14" s="2" t="s">
        <v>90</v>
      </c>
      <c r="E14" s="2" t="s">
        <v>90</v>
      </c>
      <c r="F14" s="2" t="s">
        <v>89</v>
      </c>
      <c r="G14" s="2" t="s">
        <v>89</v>
      </c>
      <c r="H14" s="2" t="s">
        <v>16</v>
      </c>
      <c r="I14" s="2" t="s">
        <v>89</v>
      </c>
      <c r="J14" s="2" t="s">
        <v>89</v>
      </c>
      <c r="K14" s="2" t="s">
        <v>90</v>
      </c>
      <c r="L14" s="2" t="s">
        <v>16</v>
      </c>
      <c r="M14" s="2" t="s">
        <v>90</v>
      </c>
      <c r="N14" s="2" t="s">
        <v>90</v>
      </c>
      <c r="O14" s="2" t="s">
        <v>90</v>
      </c>
      <c r="P14" s="2" t="s">
        <v>90</v>
      </c>
      <c r="Q14" s="2" t="s">
        <v>17</v>
      </c>
      <c r="R14" s="2" t="s">
        <v>90</v>
      </c>
      <c r="S14" s="57"/>
      <c r="T14" s="57"/>
      <c r="U14" s="56"/>
    </row>
    <row r="15" ht="12.75" customHeight="1">
      <c r="A15" s="3" t="s">
        <v>91</v>
      </c>
      <c r="B15" s="2" t="s">
        <v>15</v>
      </c>
      <c r="C15" s="2" t="s">
        <v>90</v>
      </c>
      <c r="D15" s="2" t="s">
        <v>90</v>
      </c>
      <c r="E15" s="2" t="s">
        <v>90</v>
      </c>
      <c r="F15" s="2" t="s">
        <v>16</v>
      </c>
      <c r="G15" s="2" t="s">
        <v>89</v>
      </c>
      <c r="H15" s="2" t="s">
        <v>15</v>
      </c>
      <c r="I15" s="2" t="s">
        <v>15</v>
      </c>
      <c r="J15" s="2" t="s">
        <v>16</v>
      </c>
      <c r="K15" s="2" t="s">
        <v>90</v>
      </c>
      <c r="L15" s="2" t="s">
        <v>15</v>
      </c>
      <c r="M15" s="2" t="s">
        <v>90</v>
      </c>
      <c r="N15" s="2" t="s">
        <v>90</v>
      </c>
      <c r="O15" s="2" t="s">
        <v>90</v>
      </c>
      <c r="P15" s="2" t="s">
        <v>90</v>
      </c>
      <c r="Q15" s="2" t="s">
        <v>90</v>
      </c>
      <c r="R15" s="2" t="s">
        <v>90</v>
      </c>
      <c r="S15" s="57"/>
      <c r="T15" s="57"/>
      <c r="U15" s="56"/>
    </row>
    <row r="16" ht="12.75" customHeight="1">
      <c r="A16" s="3">
        <v>2019.0</v>
      </c>
      <c r="S16" s="57"/>
      <c r="T16" s="57"/>
      <c r="U16" s="56"/>
    </row>
    <row r="17" ht="12.75" customHeight="1">
      <c r="A17" s="3" t="s">
        <v>91</v>
      </c>
      <c r="B17" s="2" t="s">
        <v>15</v>
      </c>
      <c r="C17" s="2" t="s">
        <v>90</v>
      </c>
      <c r="D17" s="2" t="s">
        <v>90</v>
      </c>
      <c r="E17" s="2" t="s">
        <v>90</v>
      </c>
      <c r="F17" s="2" t="s">
        <v>15</v>
      </c>
      <c r="G17" s="2" t="s">
        <v>90</v>
      </c>
      <c r="H17" s="2" t="s">
        <v>89</v>
      </c>
      <c r="I17" s="2" t="s">
        <v>16</v>
      </c>
      <c r="J17" s="2" t="s">
        <v>89</v>
      </c>
      <c r="K17" s="2" t="s">
        <v>90</v>
      </c>
      <c r="L17" s="2" t="s">
        <v>90</v>
      </c>
      <c r="M17" s="2" t="s">
        <v>90</v>
      </c>
      <c r="N17" s="2" t="s">
        <v>90</v>
      </c>
      <c r="O17" s="2" t="s">
        <v>90</v>
      </c>
      <c r="P17" s="2" t="s">
        <v>90</v>
      </c>
      <c r="Q17" s="2" t="s">
        <v>90</v>
      </c>
      <c r="R17" s="2" t="s">
        <v>90</v>
      </c>
      <c r="S17" s="57"/>
      <c r="T17" s="57"/>
      <c r="U17" s="56"/>
    </row>
    <row r="18" ht="12.75" customHeight="1">
      <c r="A18" s="3" t="s">
        <v>91</v>
      </c>
      <c r="B18" s="2" t="s">
        <v>89</v>
      </c>
      <c r="C18" s="2" t="s">
        <v>90</v>
      </c>
      <c r="D18" s="2" t="s">
        <v>90</v>
      </c>
      <c r="E18" s="2" t="s">
        <v>90</v>
      </c>
      <c r="F18" s="2" t="s">
        <v>16</v>
      </c>
      <c r="G18" s="2" t="s">
        <v>90</v>
      </c>
      <c r="H18" s="2" t="s">
        <v>17</v>
      </c>
      <c r="I18" s="2" t="s">
        <v>90</v>
      </c>
      <c r="J18" s="2" t="s">
        <v>89</v>
      </c>
      <c r="K18" s="2" t="s">
        <v>15</v>
      </c>
      <c r="L18" s="2" t="s">
        <v>90</v>
      </c>
      <c r="M18" s="2" t="s">
        <v>90</v>
      </c>
      <c r="N18" s="2" t="s">
        <v>90</v>
      </c>
      <c r="O18" s="2" t="s">
        <v>90</v>
      </c>
      <c r="P18" s="2" t="s">
        <v>90</v>
      </c>
      <c r="Q18" s="2" t="s">
        <v>90</v>
      </c>
      <c r="R18" s="2" t="s">
        <v>90</v>
      </c>
      <c r="S18" s="57"/>
      <c r="T18" s="57"/>
      <c r="U18" s="56"/>
    </row>
    <row r="19" ht="12.75" customHeight="1">
      <c r="A19" s="3">
        <v>2018.0</v>
      </c>
      <c r="R19" s="57"/>
      <c r="S19" s="57"/>
      <c r="T19" s="57"/>
      <c r="U19" s="56"/>
    </row>
    <row r="20" ht="12.75" customHeight="1">
      <c r="A20" s="3" t="s">
        <v>91</v>
      </c>
      <c r="B20" s="2" t="s">
        <v>15</v>
      </c>
      <c r="C20" s="2" t="s">
        <v>89</v>
      </c>
      <c r="D20" s="2" t="s">
        <v>90</v>
      </c>
      <c r="E20" s="2" t="s">
        <v>89</v>
      </c>
      <c r="F20" s="2" t="s">
        <v>17</v>
      </c>
      <c r="G20" s="2" t="s">
        <v>90</v>
      </c>
      <c r="H20" s="2" t="s">
        <v>89</v>
      </c>
      <c r="I20" s="2" t="s">
        <v>16</v>
      </c>
      <c r="J20" s="2" t="s">
        <v>89</v>
      </c>
      <c r="K20" s="2" t="s">
        <v>90</v>
      </c>
      <c r="L20" s="2" t="s">
        <v>90</v>
      </c>
      <c r="M20" s="2" t="s">
        <v>90</v>
      </c>
      <c r="N20" s="2" t="s">
        <v>90</v>
      </c>
      <c r="O20" s="2" t="s">
        <v>90</v>
      </c>
      <c r="P20" s="2" t="s">
        <v>90</v>
      </c>
      <c r="Q20" s="2" t="s">
        <v>90</v>
      </c>
      <c r="R20" s="57"/>
      <c r="S20" s="57"/>
      <c r="T20" s="57"/>
      <c r="U20" s="56"/>
    </row>
    <row r="21" ht="12.75" customHeight="1">
      <c r="A21" s="3" t="s">
        <v>91</v>
      </c>
      <c r="B21" s="2" t="s">
        <v>15</v>
      </c>
      <c r="C21" s="2" t="s">
        <v>90</v>
      </c>
      <c r="D21" s="2" t="s">
        <v>90</v>
      </c>
      <c r="E21" s="2" t="s">
        <v>90</v>
      </c>
      <c r="F21" s="2" t="s">
        <v>16</v>
      </c>
      <c r="G21" s="2" t="s">
        <v>90</v>
      </c>
      <c r="H21" s="2" t="s">
        <v>15</v>
      </c>
      <c r="I21" s="2" t="s">
        <v>89</v>
      </c>
      <c r="J21" s="2" t="s">
        <v>89</v>
      </c>
      <c r="K21" s="2" t="s">
        <v>90</v>
      </c>
      <c r="L21" s="2" t="s">
        <v>90</v>
      </c>
      <c r="M21" s="2" t="s">
        <v>90</v>
      </c>
      <c r="N21" s="2" t="s">
        <v>90</v>
      </c>
      <c r="O21" s="2" t="s">
        <v>90</v>
      </c>
      <c r="P21" s="2" t="s">
        <v>90</v>
      </c>
      <c r="Q21" s="2" t="s">
        <v>90</v>
      </c>
      <c r="R21" s="57"/>
      <c r="S21" s="57"/>
      <c r="T21" s="57"/>
      <c r="U21" s="56"/>
    </row>
    <row r="22" ht="12.75" customHeight="1">
      <c r="A22" s="3" t="s">
        <v>91</v>
      </c>
      <c r="B22" s="2" t="s">
        <v>16</v>
      </c>
      <c r="C22" s="2" t="s">
        <v>17</v>
      </c>
      <c r="D22" s="2" t="s">
        <v>90</v>
      </c>
      <c r="E22" s="2" t="s">
        <v>90</v>
      </c>
      <c r="F22" s="2" t="s">
        <v>17</v>
      </c>
      <c r="G22" s="2" t="s">
        <v>90</v>
      </c>
      <c r="H22" s="2" t="s">
        <v>89</v>
      </c>
      <c r="I22" s="2" t="s">
        <v>89</v>
      </c>
      <c r="J22" s="2" t="s">
        <v>15</v>
      </c>
      <c r="K22" s="2" t="s">
        <v>90</v>
      </c>
      <c r="L22" s="2" t="s">
        <v>90</v>
      </c>
      <c r="M22" s="2" t="s">
        <v>90</v>
      </c>
      <c r="N22" s="2" t="s">
        <v>90</v>
      </c>
      <c r="O22" s="2" t="s">
        <v>89</v>
      </c>
      <c r="P22" s="2" t="s">
        <v>89</v>
      </c>
      <c r="Q22" s="2" t="s">
        <v>90</v>
      </c>
      <c r="R22" s="57"/>
      <c r="S22" s="57"/>
      <c r="T22" s="57"/>
      <c r="U22" s="56"/>
    </row>
    <row r="23" ht="12.75" customHeight="1">
      <c r="A23" s="3">
        <v>2017.0</v>
      </c>
      <c r="R23" s="57"/>
      <c r="S23" s="57"/>
      <c r="T23" s="57"/>
      <c r="U23" s="56"/>
    </row>
    <row r="24" ht="12.75" customHeight="1">
      <c r="A24" s="3" t="s">
        <v>91</v>
      </c>
      <c r="B24" s="2" t="s">
        <v>17</v>
      </c>
      <c r="C24" s="2" t="s">
        <v>90</v>
      </c>
      <c r="D24" s="2" t="s">
        <v>90</v>
      </c>
      <c r="E24" s="2" t="s">
        <v>17</v>
      </c>
      <c r="F24" s="2" t="s">
        <v>15</v>
      </c>
      <c r="G24" s="2" t="s">
        <v>90</v>
      </c>
      <c r="H24" s="2" t="s">
        <v>89</v>
      </c>
      <c r="I24" s="2" t="s">
        <v>16</v>
      </c>
      <c r="J24" s="2" t="s">
        <v>89</v>
      </c>
      <c r="K24" s="2" t="s">
        <v>90</v>
      </c>
      <c r="L24" s="2" t="s">
        <v>90</v>
      </c>
      <c r="M24" s="2" t="s">
        <v>90</v>
      </c>
      <c r="N24" s="2" t="s">
        <v>90</v>
      </c>
      <c r="O24" s="2" t="s">
        <v>90</v>
      </c>
      <c r="P24" s="2" t="s">
        <v>90</v>
      </c>
      <c r="Q24" s="2" t="s">
        <v>90</v>
      </c>
      <c r="R24" s="57"/>
      <c r="S24" s="57"/>
      <c r="T24" s="57"/>
      <c r="U24" s="56"/>
    </row>
    <row r="25" ht="12.75" customHeight="1">
      <c r="A25" s="3">
        <v>2016.0</v>
      </c>
      <c r="R25" s="57"/>
      <c r="S25" s="57"/>
      <c r="T25" s="57"/>
      <c r="U25" s="56"/>
    </row>
    <row r="26" ht="12.75" customHeight="1">
      <c r="A26" s="3" t="s">
        <v>91</v>
      </c>
      <c r="B26" s="2" t="s">
        <v>16</v>
      </c>
      <c r="C26" s="2" t="s">
        <v>90</v>
      </c>
      <c r="D26" s="2" t="s">
        <v>90</v>
      </c>
      <c r="E26" s="2" t="s">
        <v>90</v>
      </c>
      <c r="F26" s="2" t="s">
        <v>90</v>
      </c>
      <c r="G26" s="2" t="s">
        <v>17</v>
      </c>
      <c r="H26" s="2" t="s">
        <v>90</v>
      </c>
      <c r="I26" s="2" t="s">
        <v>15</v>
      </c>
      <c r="J26" s="2" t="s">
        <v>17</v>
      </c>
      <c r="K26" s="2" t="s">
        <v>90</v>
      </c>
      <c r="L26" s="2" t="s">
        <v>90</v>
      </c>
      <c r="M26" s="2" t="s">
        <v>90</v>
      </c>
      <c r="N26" s="2" t="s">
        <v>90</v>
      </c>
      <c r="O26" s="2" t="s">
        <v>15</v>
      </c>
      <c r="P26" s="2" t="s">
        <v>90</v>
      </c>
      <c r="Q26" s="2" t="s">
        <v>90</v>
      </c>
      <c r="R26" s="57"/>
      <c r="S26" s="57"/>
      <c r="T26" s="57"/>
      <c r="U26" s="56"/>
    </row>
    <row r="27" ht="12.75" customHeight="1">
      <c r="A27" s="3" t="s">
        <v>91</v>
      </c>
      <c r="B27" s="2" t="s">
        <v>16</v>
      </c>
      <c r="C27" s="2" t="s">
        <v>89</v>
      </c>
      <c r="D27" s="2" t="s">
        <v>89</v>
      </c>
      <c r="E27" s="2" t="s">
        <v>89</v>
      </c>
      <c r="F27" s="2" t="s">
        <v>17</v>
      </c>
      <c r="G27" s="2" t="s">
        <v>90</v>
      </c>
      <c r="H27" s="2" t="s">
        <v>15</v>
      </c>
      <c r="I27" s="2" t="s">
        <v>15</v>
      </c>
      <c r="J27" s="2" t="s">
        <v>17</v>
      </c>
      <c r="K27" s="2" t="s">
        <v>90</v>
      </c>
      <c r="L27" s="2" t="s">
        <v>90</v>
      </c>
      <c r="M27" s="2" t="s">
        <v>90</v>
      </c>
      <c r="N27" s="2" t="s">
        <v>90</v>
      </c>
      <c r="O27" s="2" t="s">
        <v>90</v>
      </c>
      <c r="P27" s="2" t="s">
        <v>90</v>
      </c>
      <c r="Q27" s="2" t="s">
        <v>89</v>
      </c>
      <c r="R27" s="57"/>
      <c r="S27" s="57"/>
      <c r="T27" s="57"/>
      <c r="U27" s="56"/>
    </row>
    <row r="28" ht="12.75" customHeight="1">
      <c r="A28" s="3" t="s">
        <v>91</v>
      </c>
      <c r="B28" s="2" t="s">
        <v>15</v>
      </c>
      <c r="C28" s="2" t="s">
        <v>89</v>
      </c>
      <c r="D28" s="2" t="s">
        <v>16</v>
      </c>
      <c r="E28" s="2" t="s">
        <v>17</v>
      </c>
      <c r="F28" s="2" t="s">
        <v>89</v>
      </c>
      <c r="G28" s="2" t="s">
        <v>90</v>
      </c>
      <c r="H28" s="2" t="s">
        <v>89</v>
      </c>
      <c r="I28" s="2" t="s">
        <v>89</v>
      </c>
      <c r="J28" s="2" t="s">
        <v>89</v>
      </c>
      <c r="K28" s="2" t="s">
        <v>16</v>
      </c>
      <c r="L28" s="2" t="s">
        <v>90</v>
      </c>
      <c r="M28" s="2" t="s">
        <v>90</v>
      </c>
      <c r="N28" s="2" t="s">
        <v>90</v>
      </c>
      <c r="O28" s="2" t="s">
        <v>90</v>
      </c>
      <c r="P28" s="2" t="s">
        <v>90</v>
      </c>
      <c r="Q28" s="2" t="s">
        <v>90</v>
      </c>
      <c r="R28" s="57"/>
      <c r="S28" s="57"/>
      <c r="T28" s="57"/>
      <c r="U28" s="56"/>
    </row>
    <row r="29" ht="12.75" customHeight="1">
      <c r="A29" s="3" t="s">
        <v>91</v>
      </c>
      <c r="B29" s="2" t="s">
        <v>16</v>
      </c>
      <c r="C29" s="2" t="s">
        <v>90</v>
      </c>
      <c r="D29" s="2" t="s">
        <v>90</v>
      </c>
      <c r="E29" s="2" t="s">
        <v>15</v>
      </c>
      <c r="F29" s="2" t="s">
        <v>17</v>
      </c>
      <c r="G29" s="2" t="s">
        <v>89</v>
      </c>
      <c r="H29" s="2" t="s">
        <v>17</v>
      </c>
      <c r="I29" s="2" t="s">
        <v>89</v>
      </c>
      <c r="J29" s="2" t="s">
        <v>17</v>
      </c>
      <c r="K29" s="2" t="s">
        <v>90</v>
      </c>
      <c r="L29" s="2" t="s">
        <v>17</v>
      </c>
      <c r="M29" s="2" t="s">
        <v>90</v>
      </c>
      <c r="N29" s="2" t="s">
        <v>90</v>
      </c>
      <c r="O29" s="2" t="s">
        <v>90</v>
      </c>
      <c r="P29" s="2" t="s">
        <v>90</v>
      </c>
      <c r="Q29" s="2" t="s">
        <v>90</v>
      </c>
      <c r="R29" s="57"/>
      <c r="S29" s="57"/>
      <c r="T29" s="57"/>
      <c r="U29" s="56"/>
    </row>
    <row r="30" ht="12.75" customHeight="1">
      <c r="A30" s="3" t="s">
        <v>91</v>
      </c>
      <c r="B30" s="2" t="s">
        <v>15</v>
      </c>
      <c r="C30" s="2" t="s">
        <v>90</v>
      </c>
      <c r="D30" s="2" t="s">
        <v>90</v>
      </c>
      <c r="E30" s="2" t="s">
        <v>89</v>
      </c>
      <c r="F30" s="2" t="s">
        <v>16</v>
      </c>
      <c r="G30" s="2" t="s">
        <v>15</v>
      </c>
      <c r="H30" s="2" t="s">
        <v>17</v>
      </c>
      <c r="I30" s="2" t="s">
        <v>15</v>
      </c>
      <c r="J30" s="2" t="s">
        <v>90</v>
      </c>
      <c r="K30" s="2" t="s">
        <v>90</v>
      </c>
      <c r="L30" s="2" t="s">
        <v>89</v>
      </c>
      <c r="M30" s="2" t="s">
        <v>90</v>
      </c>
      <c r="N30" s="2" t="s">
        <v>90</v>
      </c>
      <c r="O30" s="2" t="s">
        <v>90</v>
      </c>
      <c r="P30" s="2" t="s">
        <v>90</v>
      </c>
      <c r="Q30" s="2" t="s">
        <v>90</v>
      </c>
      <c r="R30" s="57"/>
      <c r="S30" s="57"/>
      <c r="T30" s="57"/>
      <c r="U30" s="56"/>
    </row>
    <row r="31" ht="12.75" customHeight="1">
      <c r="A31" s="3">
        <v>2015.0</v>
      </c>
      <c r="R31" s="57"/>
      <c r="S31" s="57"/>
      <c r="T31" s="57"/>
      <c r="U31" s="56"/>
    </row>
    <row r="32" ht="12.75" customHeight="1">
      <c r="A32" s="16" t="s">
        <v>91</v>
      </c>
      <c r="B32" s="16" t="s">
        <v>89</v>
      </c>
      <c r="C32" s="3" t="s">
        <v>90</v>
      </c>
      <c r="D32" s="16" t="s">
        <v>16</v>
      </c>
      <c r="E32" s="3" t="s">
        <v>90</v>
      </c>
      <c r="F32" s="16" t="s">
        <v>17</v>
      </c>
      <c r="G32" s="16" t="s">
        <v>15</v>
      </c>
      <c r="H32" s="16"/>
      <c r="I32" s="16" t="s">
        <v>17</v>
      </c>
      <c r="J32" s="16"/>
      <c r="K32" s="16"/>
      <c r="L32" s="16"/>
      <c r="M32" s="3" t="s">
        <v>90</v>
      </c>
      <c r="N32" s="3" t="s">
        <v>90</v>
      </c>
      <c r="O32" s="16"/>
      <c r="P32" s="16"/>
      <c r="Q32" s="3"/>
      <c r="R32" s="57"/>
      <c r="S32" s="57"/>
      <c r="T32" s="57"/>
      <c r="U32" s="56"/>
      <c r="V32" s="3"/>
      <c r="W32" s="3"/>
      <c r="X32" s="3"/>
      <c r="Y32" s="3"/>
      <c r="Z32" s="3"/>
      <c r="AA32" s="3"/>
      <c r="AB32" s="3"/>
      <c r="AC32" s="3"/>
    </row>
    <row r="33" ht="12.75" customHeight="1">
      <c r="A33" s="16" t="s">
        <v>91</v>
      </c>
      <c r="B33" s="16" t="s">
        <v>89</v>
      </c>
      <c r="C33" s="3" t="s">
        <v>90</v>
      </c>
      <c r="D33" s="16" t="s">
        <v>16</v>
      </c>
      <c r="E33" s="3" t="s">
        <v>90</v>
      </c>
      <c r="F33" s="16" t="s">
        <v>15</v>
      </c>
      <c r="G33" s="16"/>
      <c r="H33" s="16" t="s">
        <v>17</v>
      </c>
      <c r="I33" s="16"/>
      <c r="J33" s="16"/>
      <c r="K33" s="16"/>
      <c r="L33" s="16"/>
      <c r="M33" s="3" t="s">
        <v>90</v>
      </c>
      <c r="N33" s="3" t="s">
        <v>90</v>
      </c>
      <c r="O33" s="16"/>
      <c r="P33" s="16"/>
      <c r="Q33" s="59"/>
      <c r="R33" s="57"/>
      <c r="S33" s="57"/>
      <c r="T33" s="57"/>
      <c r="U33" s="56"/>
      <c r="V33" s="3"/>
      <c r="W33" s="3"/>
      <c r="X33" s="3"/>
      <c r="Y33" s="3"/>
      <c r="Z33" s="3"/>
      <c r="AA33" s="3"/>
      <c r="AB33" s="3"/>
      <c r="AC33" s="3"/>
    </row>
    <row r="34" ht="12.75" customHeight="1">
      <c r="A34" s="3">
        <v>2014.0</v>
      </c>
      <c r="Q34" s="57"/>
      <c r="R34" s="57"/>
      <c r="S34" s="57"/>
      <c r="T34" s="57"/>
      <c r="U34" s="56"/>
    </row>
    <row r="35" ht="12.75" customHeight="1">
      <c r="A35" s="3" t="s">
        <v>282</v>
      </c>
      <c r="B35" s="2" t="s">
        <v>16</v>
      </c>
      <c r="C35" s="2" t="s">
        <v>15</v>
      </c>
      <c r="D35" s="2" t="s">
        <v>89</v>
      </c>
      <c r="E35" s="2" t="s">
        <v>17</v>
      </c>
      <c r="F35" s="2" t="s">
        <v>89</v>
      </c>
      <c r="G35" s="2" t="s">
        <v>16</v>
      </c>
      <c r="H35" s="2" t="s">
        <v>89</v>
      </c>
      <c r="I35" s="2" t="s">
        <v>89</v>
      </c>
      <c r="J35" s="2" t="s">
        <v>16</v>
      </c>
      <c r="K35" s="2" t="s">
        <v>90</v>
      </c>
      <c r="L35" s="2" t="s">
        <v>89</v>
      </c>
      <c r="M35" s="2" t="s">
        <v>90</v>
      </c>
      <c r="N35" s="2" t="s">
        <v>90</v>
      </c>
      <c r="O35" s="2" t="s">
        <v>90</v>
      </c>
      <c r="P35" s="2" t="s">
        <v>90</v>
      </c>
      <c r="Q35" s="57"/>
      <c r="R35" s="57"/>
      <c r="S35" s="57"/>
      <c r="T35" s="57"/>
      <c r="U35" s="56"/>
    </row>
    <row r="36" ht="12.75" customHeight="1">
      <c r="A36" s="3" t="s">
        <v>282</v>
      </c>
      <c r="B36" s="2" t="s">
        <v>89</v>
      </c>
      <c r="C36" s="2" t="s">
        <v>89</v>
      </c>
      <c r="D36" s="2" t="s">
        <v>15</v>
      </c>
      <c r="E36" s="2" t="s">
        <v>16</v>
      </c>
      <c r="F36" s="2" t="s">
        <v>89</v>
      </c>
      <c r="G36" s="2" t="s">
        <v>89</v>
      </c>
      <c r="H36" s="2" t="s">
        <v>15</v>
      </c>
      <c r="I36" s="2" t="s">
        <v>89</v>
      </c>
      <c r="J36" s="2" t="s">
        <v>90</v>
      </c>
      <c r="K36" s="2" t="s">
        <v>90</v>
      </c>
      <c r="L36" s="2" t="s">
        <v>15</v>
      </c>
      <c r="M36" s="2" t="s">
        <v>90</v>
      </c>
      <c r="N36" s="2" t="s">
        <v>90</v>
      </c>
      <c r="O36" s="2" t="s">
        <v>90</v>
      </c>
      <c r="P36" s="2" t="s">
        <v>90</v>
      </c>
      <c r="Q36" s="57"/>
      <c r="R36" s="57"/>
      <c r="S36" s="57"/>
      <c r="T36" s="57"/>
      <c r="U36" s="56"/>
    </row>
    <row r="37" ht="12.75" customHeight="1">
      <c r="A37" s="3">
        <v>2013.0</v>
      </c>
      <c r="Q37" s="57"/>
      <c r="R37" s="57"/>
      <c r="S37" s="57"/>
      <c r="T37" s="57"/>
      <c r="U37" s="56"/>
    </row>
    <row r="38" ht="12.75" customHeight="1">
      <c r="A38" s="3" t="s">
        <v>91</v>
      </c>
      <c r="B38" s="3" t="s">
        <v>89</v>
      </c>
      <c r="C38" s="3" t="s">
        <v>15</v>
      </c>
      <c r="D38" s="3" t="s">
        <v>90</v>
      </c>
      <c r="E38" s="3" t="s">
        <v>89</v>
      </c>
      <c r="F38" s="3" t="s">
        <v>16</v>
      </c>
      <c r="G38" s="3" t="s">
        <v>89</v>
      </c>
      <c r="H38" s="3" t="s">
        <v>89</v>
      </c>
      <c r="I38" s="3" t="s">
        <v>90</v>
      </c>
      <c r="J38" s="3" t="s">
        <v>89</v>
      </c>
      <c r="K38" s="3" t="s">
        <v>15</v>
      </c>
      <c r="L38" s="3" t="s">
        <v>90</v>
      </c>
      <c r="M38" s="3" t="s">
        <v>89</v>
      </c>
      <c r="N38" s="3" t="s">
        <v>90</v>
      </c>
      <c r="O38" s="3" t="s">
        <v>90</v>
      </c>
      <c r="P38" s="3" t="s">
        <v>90</v>
      </c>
      <c r="Q38" s="57"/>
      <c r="R38" s="57"/>
      <c r="S38" s="57"/>
      <c r="T38" s="57"/>
      <c r="U38" s="56"/>
    </row>
    <row r="39" ht="12.75" customHeight="1">
      <c r="A39" s="3" t="s">
        <v>91</v>
      </c>
      <c r="B39" s="3" t="s">
        <v>17</v>
      </c>
      <c r="C39" s="3" t="s">
        <v>89</v>
      </c>
      <c r="D39" s="3" t="s">
        <v>90</v>
      </c>
      <c r="E39" s="3" t="s">
        <v>89</v>
      </c>
      <c r="F39" s="3" t="s">
        <v>15</v>
      </c>
      <c r="G39" s="3" t="s">
        <v>90</v>
      </c>
      <c r="H39" s="3" t="s">
        <v>89</v>
      </c>
      <c r="I39" s="3" t="s">
        <v>89</v>
      </c>
      <c r="J39" s="3" t="s">
        <v>90</v>
      </c>
      <c r="K39" s="3" t="s">
        <v>90</v>
      </c>
      <c r="L39" s="3" t="s">
        <v>90</v>
      </c>
      <c r="M39" s="3" t="s">
        <v>16</v>
      </c>
      <c r="N39" s="3" t="s">
        <v>90</v>
      </c>
      <c r="O39" s="3" t="s">
        <v>90</v>
      </c>
      <c r="P39" s="3" t="s">
        <v>90</v>
      </c>
      <c r="Q39" s="57"/>
      <c r="R39" s="57"/>
      <c r="S39" s="57"/>
      <c r="T39" s="57"/>
      <c r="U39" s="56"/>
    </row>
    <row r="40" ht="12.75" customHeight="1">
      <c r="A40" s="3" t="s">
        <v>91</v>
      </c>
      <c r="B40" s="3" t="s">
        <v>89</v>
      </c>
      <c r="C40" s="3" t="s">
        <v>16</v>
      </c>
      <c r="D40" s="3" t="s">
        <v>90</v>
      </c>
      <c r="E40" s="3" t="s">
        <v>17</v>
      </c>
      <c r="F40" s="3" t="s">
        <v>17</v>
      </c>
      <c r="G40" s="3" t="s">
        <v>90</v>
      </c>
      <c r="H40" s="3" t="s">
        <v>90</v>
      </c>
      <c r="I40" s="3" t="s">
        <v>16</v>
      </c>
      <c r="J40" s="3" t="s">
        <v>90</v>
      </c>
      <c r="K40" s="3" t="s">
        <v>90</v>
      </c>
      <c r="L40" s="3" t="s">
        <v>90</v>
      </c>
      <c r="M40" s="3" t="s">
        <v>89</v>
      </c>
      <c r="N40" s="3" t="s">
        <v>90</v>
      </c>
      <c r="O40" s="3" t="s">
        <v>90</v>
      </c>
      <c r="P40" s="3" t="s">
        <v>90</v>
      </c>
      <c r="Q40" s="57"/>
      <c r="R40" s="57"/>
      <c r="S40" s="57"/>
      <c r="T40" s="57"/>
      <c r="U40" s="56"/>
    </row>
    <row r="41" ht="12.75" customHeight="1">
      <c r="A41" s="3" t="s">
        <v>91</v>
      </c>
      <c r="B41" s="3" t="s">
        <v>15</v>
      </c>
      <c r="C41" s="3" t="s">
        <v>15</v>
      </c>
      <c r="D41" s="3" t="s">
        <v>90</v>
      </c>
      <c r="E41" s="3" t="s">
        <v>16</v>
      </c>
      <c r="F41" s="3" t="s">
        <v>89</v>
      </c>
      <c r="G41" s="3" t="s">
        <v>90</v>
      </c>
      <c r="H41" s="3" t="s">
        <v>89</v>
      </c>
      <c r="I41" s="3" t="s">
        <v>89</v>
      </c>
      <c r="J41" s="3" t="s">
        <v>89</v>
      </c>
      <c r="K41" s="3" t="s">
        <v>90</v>
      </c>
      <c r="L41" s="3" t="s">
        <v>90</v>
      </c>
      <c r="M41" s="3" t="s">
        <v>90</v>
      </c>
      <c r="N41" s="3" t="s">
        <v>90</v>
      </c>
      <c r="O41" s="3" t="s">
        <v>90</v>
      </c>
      <c r="P41" s="3" t="s">
        <v>90</v>
      </c>
      <c r="Q41" s="57"/>
      <c r="R41" s="57"/>
      <c r="S41" s="57"/>
      <c r="T41" s="57"/>
      <c r="U41" s="56"/>
    </row>
    <row r="42" ht="12.75" customHeight="1">
      <c r="A42" s="3">
        <v>2012.0</v>
      </c>
      <c r="Q42" s="57"/>
      <c r="R42" s="57"/>
      <c r="S42" s="57"/>
      <c r="T42" s="57"/>
      <c r="U42" s="56"/>
    </row>
    <row r="43" ht="12.75" customHeight="1">
      <c r="A43" s="3" t="s">
        <v>91</v>
      </c>
      <c r="B43" s="3" t="s">
        <v>16</v>
      </c>
      <c r="C43" s="3" t="s">
        <v>15</v>
      </c>
      <c r="D43" s="3" t="s">
        <v>17</v>
      </c>
      <c r="E43" s="3" t="s">
        <v>17</v>
      </c>
      <c r="F43" s="3" t="s">
        <v>89</v>
      </c>
      <c r="G43" s="3" t="s">
        <v>89</v>
      </c>
      <c r="H43" s="3" t="s">
        <v>90</v>
      </c>
      <c r="I43" s="3" t="s">
        <v>90</v>
      </c>
      <c r="J43" s="3" t="s">
        <v>90</v>
      </c>
      <c r="K43" s="3" t="s">
        <v>90</v>
      </c>
      <c r="L43" s="3" t="s">
        <v>89</v>
      </c>
      <c r="M43" s="3" t="s">
        <v>90</v>
      </c>
      <c r="N43" s="3" t="s">
        <v>90</v>
      </c>
      <c r="O43" s="3" t="s">
        <v>90</v>
      </c>
      <c r="P43" s="3" t="s">
        <v>90</v>
      </c>
      <c r="Q43" s="57"/>
      <c r="R43" s="57"/>
      <c r="S43" s="57"/>
      <c r="T43" s="57"/>
      <c r="U43" s="56"/>
    </row>
    <row r="44" ht="12.75" customHeight="1">
      <c r="A44" s="3" t="s">
        <v>91</v>
      </c>
      <c r="B44" s="3" t="s">
        <v>89</v>
      </c>
      <c r="C44" s="3" t="s">
        <v>89</v>
      </c>
      <c r="D44" s="3" t="s">
        <v>89</v>
      </c>
      <c r="E44" s="3" t="s">
        <v>89</v>
      </c>
      <c r="F44" s="3" t="s">
        <v>16</v>
      </c>
      <c r="G44" s="3" t="s">
        <v>17</v>
      </c>
      <c r="H44" s="3" t="s">
        <v>90</v>
      </c>
      <c r="I44" s="3" t="s">
        <v>90</v>
      </c>
      <c r="J44" s="3" t="s">
        <v>90</v>
      </c>
      <c r="K44" s="3" t="s">
        <v>15</v>
      </c>
      <c r="L44" s="3" t="s">
        <v>90</v>
      </c>
      <c r="M44" s="3" t="s">
        <v>90</v>
      </c>
      <c r="N44" s="3" t="s">
        <v>90</v>
      </c>
      <c r="O44" s="3" t="s">
        <v>90</v>
      </c>
      <c r="P44" s="3" t="s">
        <v>90</v>
      </c>
      <c r="Q44" s="57"/>
      <c r="R44" s="57"/>
      <c r="S44" s="57"/>
      <c r="T44" s="57"/>
      <c r="U44" s="56"/>
    </row>
    <row r="45" ht="12.75" customHeight="1">
      <c r="A45" s="3">
        <v>2011.0</v>
      </c>
      <c r="Q45" s="57"/>
      <c r="R45" s="57"/>
      <c r="S45" s="57"/>
      <c r="T45" s="57"/>
      <c r="U45" s="56"/>
    </row>
    <row r="46" ht="12.75" customHeight="1">
      <c r="A46" s="3" t="s">
        <v>91</v>
      </c>
      <c r="B46" s="3" t="s">
        <v>16</v>
      </c>
      <c r="C46" s="3" t="s">
        <v>90</v>
      </c>
      <c r="D46" s="3" t="s">
        <v>15</v>
      </c>
      <c r="E46" s="3" t="s">
        <v>90</v>
      </c>
      <c r="F46" s="3" t="s">
        <v>17</v>
      </c>
      <c r="G46" s="3" t="s">
        <v>89</v>
      </c>
      <c r="H46" s="3" t="s">
        <v>90</v>
      </c>
      <c r="I46" s="3" t="s">
        <v>90</v>
      </c>
      <c r="J46" s="3" t="s">
        <v>90</v>
      </c>
      <c r="K46" s="3" t="s">
        <v>90</v>
      </c>
      <c r="L46" s="3" t="s">
        <v>90</v>
      </c>
      <c r="M46" s="3" t="s">
        <v>90</v>
      </c>
      <c r="N46" s="3" t="s">
        <v>90</v>
      </c>
      <c r="O46" s="3" t="s">
        <v>17</v>
      </c>
      <c r="P46" s="3" t="s">
        <v>90</v>
      </c>
      <c r="Q46" s="57"/>
      <c r="R46" s="57"/>
      <c r="S46" s="57"/>
      <c r="T46" s="57"/>
      <c r="U46" s="56"/>
    </row>
    <row r="47" ht="12.75" customHeight="1">
      <c r="A47" s="3" t="s">
        <v>91</v>
      </c>
      <c r="B47" s="3" t="s">
        <v>17</v>
      </c>
      <c r="C47" s="3" t="s">
        <v>17</v>
      </c>
      <c r="D47" s="3" t="s">
        <v>89</v>
      </c>
      <c r="E47" s="3" t="s">
        <v>17</v>
      </c>
      <c r="F47" s="3" t="s">
        <v>15</v>
      </c>
      <c r="G47" s="3" t="s">
        <v>16</v>
      </c>
      <c r="H47" s="3" t="s">
        <v>90</v>
      </c>
      <c r="I47" s="3" t="s">
        <v>90</v>
      </c>
      <c r="J47" s="3" t="s">
        <v>90</v>
      </c>
      <c r="K47" s="3" t="s">
        <v>90</v>
      </c>
      <c r="L47" s="3" t="s">
        <v>90</v>
      </c>
      <c r="M47" s="3" t="s">
        <v>90</v>
      </c>
      <c r="N47" s="3" t="s">
        <v>90</v>
      </c>
      <c r="O47" s="3" t="s">
        <v>90</v>
      </c>
      <c r="P47" s="3" t="s">
        <v>90</v>
      </c>
      <c r="Q47" s="57"/>
      <c r="R47" s="57"/>
      <c r="S47" s="57"/>
      <c r="T47" s="57"/>
      <c r="U47" s="56"/>
    </row>
    <row r="48" ht="12.75" customHeight="1">
      <c r="A48" s="3" t="s">
        <v>91</v>
      </c>
      <c r="B48" s="3" t="s">
        <v>89</v>
      </c>
      <c r="C48" s="3" t="s">
        <v>16</v>
      </c>
      <c r="D48" s="3" t="s">
        <v>89</v>
      </c>
      <c r="E48" s="3" t="s">
        <v>89</v>
      </c>
      <c r="F48" s="3" t="s">
        <v>17</v>
      </c>
      <c r="G48" s="3" t="s">
        <v>15</v>
      </c>
      <c r="H48" s="3" t="s">
        <v>90</v>
      </c>
      <c r="I48" s="3" t="s">
        <v>90</v>
      </c>
      <c r="J48" s="3" t="s">
        <v>90</v>
      </c>
      <c r="K48" s="3" t="s">
        <v>90</v>
      </c>
      <c r="L48" s="3" t="s">
        <v>90</v>
      </c>
      <c r="M48" s="3" t="s">
        <v>90</v>
      </c>
      <c r="N48" s="3" t="s">
        <v>90</v>
      </c>
      <c r="O48" s="3" t="s">
        <v>90</v>
      </c>
      <c r="P48" s="3" t="s">
        <v>90</v>
      </c>
      <c r="Q48" s="57"/>
      <c r="R48" s="57"/>
      <c r="S48" s="57"/>
      <c r="T48" s="57"/>
      <c r="U48" s="56"/>
    </row>
    <row r="49" ht="12.75" customHeight="1">
      <c r="A49" s="3" t="s">
        <v>91</v>
      </c>
      <c r="B49" s="3" t="s">
        <v>15</v>
      </c>
      <c r="C49" s="3" t="s">
        <v>16</v>
      </c>
      <c r="D49" s="3" t="s">
        <v>89</v>
      </c>
      <c r="E49" s="3" t="s">
        <v>89</v>
      </c>
      <c r="F49" s="3" t="s">
        <v>17</v>
      </c>
      <c r="G49" s="3" t="s">
        <v>89</v>
      </c>
      <c r="H49" s="3" t="s">
        <v>90</v>
      </c>
      <c r="I49" s="3" t="s">
        <v>90</v>
      </c>
      <c r="J49" s="3" t="s">
        <v>90</v>
      </c>
      <c r="K49" s="3" t="s">
        <v>17</v>
      </c>
      <c r="L49" s="3" t="s">
        <v>90</v>
      </c>
      <c r="M49" s="3" t="s">
        <v>90</v>
      </c>
      <c r="N49" s="3" t="s">
        <v>90</v>
      </c>
      <c r="O49" s="3" t="s">
        <v>90</v>
      </c>
      <c r="P49" s="3" t="s">
        <v>90</v>
      </c>
      <c r="Q49" s="57"/>
      <c r="R49" s="57"/>
      <c r="S49" s="57"/>
      <c r="T49" s="57"/>
      <c r="U49" s="56"/>
    </row>
    <row r="50" ht="12.75" customHeight="1">
      <c r="A50" s="3" t="s">
        <v>91</v>
      </c>
      <c r="B50" s="3" t="s">
        <v>15</v>
      </c>
      <c r="C50" s="3" t="s">
        <v>17</v>
      </c>
      <c r="D50" s="3" t="s">
        <v>89</v>
      </c>
      <c r="E50" s="3" t="s">
        <v>16</v>
      </c>
      <c r="F50" s="3" t="s">
        <v>89</v>
      </c>
      <c r="G50" s="3" t="s">
        <v>15</v>
      </c>
      <c r="H50" s="3" t="s">
        <v>90</v>
      </c>
      <c r="I50" s="3" t="s">
        <v>90</v>
      </c>
      <c r="J50" s="3" t="s">
        <v>90</v>
      </c>
      <c r="K50" s="3" t="s">
        <v>17</v>
      </c>
      <c r="L50" s="3" t="s">
        <v>90</v>
      </c>
      <c r="M50" s="3" t="s">
        <v>90</v>
      </c>
      <c r="N50" s="3" t="s">
        <v>90</v>
      </c>
      <c r="O50" s="3" t="s">
        <v>90</v>
      </c>
      <c r="P50" s="3" t="s">
        <v>90</v>
      </c>
      <c r="Q50" s="57"/>
      <c r="R50" s="57"/>
      <c r="S50" s="57"/>
      <c r="T50" s="57"/>
      <c r="U50" s="56"/>
    </row>
    <row r="51" ht="12.75" customHeight="1">
      <c r="A51" s="3" t="s">
        <v>91</v>
      </c>
      <c r="B51" s="3" t="s">
        <v>89</v>
      </c>
      <c r="C51" s="3" t="s">
        <v>15</v>
      </c>
      <c r="D51" s="3" t="s">
        <v>16</v>
      </c>
      <c r="E51" s="3" t="s">
        <v>89</v>
      </c>
      <c r="F51" s="3" t="s">
        <v>89</v>
      </c>
      <c r="G51" s="3" t="s">
        <v>15</v>
      </c>
      <c r="H51" s="3" t="s">
        <v>90</v>
      </c>
      <c r="I51" s="3" t="s">
        <v>90</v>
      </c>
      <c r="J51" s="3" t="s">
        <v>90</v>
      </c>
      <c r="K51" s="3" t="s">
        <v>90</v>
      </c>
      <c r="L51" s="3" t="s">
        <v>90</v>
      </c>
      <c r="M51" s="3" t="s">
        <v>90</v>
      </c>
      <c r="N51" s="3" t="s">
        <v>90</v>
      </c>
      <c r="O51" s="3" t="s">
        <v>90</v>
      </c>
      <c r="P51" s="3" t="s">
        <v>90</v>
      </c>
      <c r="Q51" s="57"/>
      <c r="R51" s="57"/>
      <c r="S51" s="57"/>
      <c r="T51" s="57"/>
      <c r="U51" s="56"/>
    </row>
    <row r="52" ht="12.75" customHeight="1">
      <c r="A52" s="3" t="s">
        <v>91</v>
      </c>
      <c r="B52" s="3" t="s">
        <v>15</v>
      </c>
      <c r="C52" s="3" t="s">
        <v>16</v>
      </c>
      <c r="D52" s="3" t="s">
        <v>17</v>
      </c>
      <c r="E52" s="3" t="s">
        <v>17</v>
      </c>
      <c r="F52" s="3" t="s">
        <v>89</v>
      </c>
      <c r="G52" s="3" t="s">
        <v>89</v>
      </c>
      <c r="H52" s="3" t="s">
        <v>90</v>
      </c>
      <c r="I52" s="3" t="s">
        <v>90</v>
      </c>
      <c r="J52" s="3" t="s">
        <v>90</v>
      </c>
      <c r="K52" s="3" t="s">
        <v>90</v>
      </c>
      <c r="L52" s="3" t="s">
        <v>90</v>
      </c>
      <c r="M52" s="3" t="s">
        <v>90</v>
      </c>
      <c r="N52" s="3" t="s">
        <v>90</v>
      </c>
      <c r="O52" s="3" t="s">
        <v>90</v>
      </c>
      <c r="P52" s="3" t="s">
        <v>90</v>
      </c>
      <c r="Q52" s="57"/>
      <c r="R52" s="57"/>
      <c r="S52" s="57"/>
      <c r="T52" s="57"/>
      <c r="U52" s="56"/>
    </row>
    <row r="53" ht="12.75" customHeight="1">
      <c r="A53" s="3">
        <v>2010.0</v>
      </c>
      <c r="Q53" s="57"/>
      <c r="R53" s="57"/>
      <c r="S53" s="57"/>
      <c r="T53" s="57"/>
      <c r="U53" s="56"/>
    </row>
    <row r="54" ht="12.75" customHeight="1">
      <c r="A54" s="3" t="s">
        <v>91</v>
      </c>
      <c r="B54" s="3" t="s">
        <v>15</v>
      </c>
      <c r="C54" s="3" t="s">
        <v>17</v>
      </c>
      <c r="D54" s="3" t="s">
        <v>16</v>
      </c>
      <c r="E54" s="3" t="s">
        <v>89</v>
      </c>
      <c r="F54" s="3" t="s">
        <v>15</v>
      </c>
      <c r="G54" s="3" t="s">
        <v>16</v>
      </c>
      <c r="H54" s="3" t="s">
        <v>90</v>
      </c>
      <c r="I54" s="3" t="s">
        <v>90</v>
      </c>
      <c r="J54" s="3" t="s">
        <v>90</v>
      </c>
      <c r="K54" s="3" t="s">
        <v>90</v>
      </c>
      <c r="L54" s="3" t="s">
        <v>89</v>
      </c>
      <c r="M54" s="3" t="s">
        <v>89</v>
      </c>
      <c r="N54" s="3" t="s">
        <v>90</v>
      </c>
      <c r="O54" s="3" t="s">
        <v>90</v>
      </c>
      <c r="Q54" s="57"/>
      <c r="R54" s="57"/>
      <c r="S54" s="57"/>
      <c r="T54" s="57"/>
      <c r="U54" s="56"/>
    </row>
    <row r="55" ht="12.75" customHeight="1">
      <c r="A55" s="3" t="s">
        <v>91</v>
      </c>
      <c r="B55" s="3" t="s">
        <v>89</v>
      </c>
      <c r="C55" s="3" t="s">
        <v>16</v>
      </c>
      <c r="D55" s="3" t="s">
        <v>89</v>
      </c>
      <c r="E55" s="3" t="s">
        <v>15</v>
      </c>
      <c r="F55" s="3" t="s">
        <v>89</v>
      </c>
      <c r="G55" s="3" t="s">
        <v>89</v>
      </c>
      <c r="H55" s="3" t="s">
        <v>90</v>
      </c>
      <c r="I55" s="3" t="s">
        <v>90</v>
      </c>
      <c r="J55" s="3" t="s">
        <v>90</v>
      </c>
      <c r="K55" s="3" t="s">
        <v>90</v>
      </c>
      <c r="L55" s="3" t="s">
        <v>89</v>
      </c>
      <c r="M55" s="3" t="s">
        <v>15</v>
      </c>
      <c r="N55" s="3" t="s">
        <v>90</v>
      </c>
      <c r="O55" s="3" t="s">
        <v>90</v>
      </c>
      <c r="Q55" s="57"/>
      <c r="R55" s="57"/>
      <c r="S55" s="57"/>
      <c r="T55" s="57"/>
      <c r="U55" s="56"/>
    </row>
    <row r="56" ht="12.75" customHeight="1">
      <c r="A56" s="3" t="s">
        <v>91</v>
      </c>
      <c r="B56" s="3" t="s">
        <v>15</v>
      </c>
      <c r="C56" s="3" t="s">
        <v>89</v>
      </c>
      <c r="D56" s="3" t="s">
        <v>16</v>
      </c>
      <c r="E56" s="3" t="s">
        <v>17</v>
      </c>
      <c r="F56" s="3" t="s">
        <v>17</v>
      </c>
      <c r="G56" s="3" t="s">
        <v>16</v>
      </c>
      <c r="H56" s="3" t="s">
        <v>90</v>
      </c>
      <c r="I56" s="3" t="s">
        <v>90</v>
      </c>
      <c r="J56" s="3" t="s">
        <v>90</v>
      </c>
      <c r="K56" s="3" t="s">
        <v>90</v>
      </c>
      <c r="L56" s="3" t="s">
        <v>90</v>
      </c>
      <c r="M56" s="3" t="s">
        <v>90</v>
      </c>
      <c r="N56" s="3" t="s">
        <v>90</v>
      </c>
      <c r="O56" s="3" t="s">
        <v>90</v>
      </c>
      <c r="Q56" s="57"/>
      <c r="R56" s="57"/>
      <c r="S56" s="57"/>
      <c r="T56" s="57"/>
      <c r="U56" s="56"/>
    </row>
    <row r="57" ht="12.75" customHeight="1">
      <c r="A57" s="3" t="s">
        <v>91</v>
      </c>
      <c r="B57" s="3" t="s">
        <v>15</v>
      </c>
      <c r="C57" s="3" t="s">
        <v>17</v>
      </c>
      <c r="D57" s="3" t="s">
        <v>17</v>
      </c>
      <c r="E57" s="3" t="s">
        <v>17</v>
      </c>
      <c r="F57" s="3" t="s">
        <v>16</v>
      </c>
      <c r="G57" s="3" t="s">
        <v>17</v>
      </c>
      <c r="H57" s="3" t="s">
        <v>90</v>
      </c>
      <c r="I57" s="3" t="s">
        <v>90</v>
      </c>
      <c r="J57" s="3" t="s">
        <v>90</v>
      </c>
      <c r="K57" s="3" t="s">
        <v>90</v>
      </c>
      <c r="L57" s="3" t="s">
        <v>90</v>
      </c>
      <c r="M57" s="3" t="s">
        <v>90</v>
      </c>
      <c r="N57" s="3" t="s">
        <v>90</v>
      </c>
      <c r="O57" s="3" t="s">
        <v>90</v>
      </c>
      <c r="Q57" s="57"/>
      <c r="R57" s="57"/>
      <c r="S57" s="57"/>
      <c r="T57" s="57"/>
      <c r="U57" s="56"/>
    </row>
    <row r="58" ht="12.75" customHeight="1">
      <c r="A58" s="3" t="s">
        <v>91</v>
      </c>
      <c r="B58" s="3" t="s">
        <v>16</v>
      </c>
      <c r="C58" s="3" t="s">
        <v>89</v>
      </c>
      <c r="D58" s="3" t="s">
        <v>17</v>
      </c>
      <c r="E58" s="3" t="s">
        <v>89</v>
      </c>
      <c r="F58" s="3" t="s">
        <v>89</v>
      </c>
      <c r="G58" s="3" t="s">
        <v>17</v>
      </c>
      <c r="H58" s="3" t="s">
        <v>90</v>
      </c>
      <c r="I58" s="3" t="s">
        <v>90</v>
      </c>
      <c r="J58" s="3" t="s">
        <v>90</v>
      </c>
      <c r="K58" s="3" t="s">
        <v>15</v>
      </c>
      <c r="L58" s="3" t="s">
        <v>90</v>
      </c>
      <c r="M58" s="3" t="s">
        <v>90</v>
      </c>
      <c r="N58" s="3" t="s">
        <v>90</v>
      </c>
      <c r="O58" s="3" t="s">
        <v>90</v>
      </c>
      <c r="Q58" s="57"/>
      <c r="R58" s="57"/>
      <c r="S58" s="57"/>
      <c r="T58" s="57"/>
      <c r="U58" s="56"/>
    </row>
    <row r="59" ht="12.75" customHeight="1">
      <c r="A59" s="3" t="s">
        <v>91</v>
      </c>
      <c r="B59" s="3" t="s">
        <v>16</v>
      </c>
      <c r="C59" s="3" t="s">
        <v>89</v>
      </c>
      <c r="D59" s="3" t="s">
        <v>17</v>
      </c>
      <c r="E59" s="3" t="s">
        <v>15</v>
      </c>
      <c r="F59" s="3" t="s">
        <v>15</v>
      </c>
      <c r="G59" s="3" t="s">
        <v>17</v>
      </c>
      <c r="H59" s="3" t="s">
        <v>90</v>
      </c>
      <c r="I59" s="3" t="s">
        <v>90</v>
      </c>
      <c r="J59" s="3" t="s">
        <v>90</v>
      </c>
      <c r="K59" s="3" t="s">
        <v>89</v>
      </c>
      <c r="L59" s="3" t="s">
        <v>90</v>
      </c>
      <c r="M59" s="3" t="s">
        <v>90</v>
      </c>
      <c r="N59" s="3" t="s">
        <v>90</v>
      </c>
      <c r="O59" s="3" t="s">
        <v>90</v>
      </c>
      <c r="Q59" s="57"/>
      <c r="R59" s="57"/>
      <c r="S59" s="57"/>
      <c r="T59" s="57"/>
      <c r="U59" s="56"/>
    </row>
    <row r="60" ht="12.75" customHeight="1">
      <c r="A60" s="3" t="s">
        <v>91</v>
      </c>
      <c r="B60" s="3" t="s">
        <v>15</v>
      </c>
      <c r="C60" s="3" t="s">
        <v>89</v>
      </c>
      <c r="D60" s="3" t="s">
        <v>16</v>
      </c>
      <c r="E60" s="3" t="s">
        <v>17</v>
      </c>
      <c r="F60" s="3" t="s">
        <v>17</v>
      </c>
      <c r="G60" s="3" t="s">
        <v>16</v>
      </c>
      <c r="H60" s="3" t="s">
        <v>90</v>
      </c>
      <c r="I60" s="3" t="s">
        <v>90</v>
      </c>
      <c r="J60" s="3" t="s">
        <v>90</v>
      </c>
      <c r="K60" s="3" t="s">
        <v>90</v>
      </c>
      <c r="L60" s="3" t="s">
        <v>90</v>
      </c>
      <c r="M60" s="3" t="s">
        <v>90</v>
      </c>
      <c r="N60" s="3" t="s">
        <v>90</v>
      </c>
      <c r="O60" s="3" t="s">
        <v>90</v>
      </c>
      <c r="Q60" s="57"/>
      <c r="R60" s="57"/>
      <c r="S60" s="57"/>
      <c r="T60" s="57"/>
      <c r="U60" s="56"/>
    </row>
    <row r="61" ht="12.75" customHeight="1">
      <c r="A61" s="3">
        <v>2009.0</v>
      </c>
      <c r="Q61" s="57"/>
      <c r="R61" s="57"/>
      <c r="S61" s="57"/>
      <c r="T61" s="57"/>
      <c r="U61" s="56"/>
    </row>
    <row r="62" ht="12.75" customHeight="1">
      <c r="A62" s="3" t="s">
        <v>20</v>
      </c>
      <c r="B62" s="3" t="s">
        <v>15</v>
      </c>
      <c r="C62" s="3"/>
      <c r="D62" s="3"/>
      <c r="E62" s="3"/>
      <c r="F62" s="3" t="s">
        <v>15</v>
      </c>
      <c r="G62" s="3" t="s">
        <v>17</v>
      </c>
      <c r="H62" s="3"/>
      <c r="I62" s="3"/>
      <c r="J62" s="3"/>
      <c r="K62" s="3"/>
      <c r="L62" s="3" t="s">
        <v>16</v>
      </c>
      <c r="M62" s="3"/>
      <c r="N62" s="3"/>
      <c r="O62" s="3"/>
      <c r="Q62" s="57"/>
      <c r="R62" s="57"/>
      <c r="S62" s="57"/>
      <c r="T62" s="57"/>
      <c r="U62" s="56"/>
    </row>
    <row r="63" ht="12.75" customHeight="1">
      <c r="A63" s="3" t="s">
        <v>30</v>
      </c>
      <c r="B63" s="3" t="s">
        <v>15</v>
      </c>
      <c r="C63" s="3" t="s">
        <v>16</v>
      </c>
      <c r="D63" s="3"/>
      <c r="E63" s="3"/>
      <c r="F63" s="3" t="s">
        <v>15</v>
      </c>
      <c r="G63" s="3" t="s">
        <v>17</v>
      </c>
      <c r="H63" s="3"/>
      <c r="I63" s="3"/>
      <c r="J63" s="3"/>
      <c r="K63" s="3"/>
      <c r="L63" s="3"/>
      <c r="M63" s="3"/>
      <c r="N63" s="3"/>
      <c r="O63" s="3"/>
      <c r="Q63" s="57"/>
      <c r="R63" s="57"/>
      <c r="S63" s="57"/>
      <c r="T63" s="57"/>
      <c r="U63" s="56"/>
    </row>
    <row r="64" ht="12.75" customHeight="1">
      <c r="A64" s="3" t="s">
        <v>41</v>
      </c>
      <c r="B64" s="3" t="s">
        <v>15</v>
      </c>
      <c r="C64" s="3" t="s">
        <v>17</v>
      </c>
      <c r="D64" s="3"/>
      <c r="E64" s="3"/>
      <c r="F64" s="3" t="s">
        <v>15</v>
      </c>
      <c r="G64" s="3" t="s">
        <v>16</v>
      </c>
      <c r="H64" s="3"/>
      <c r="I64" s="3"/>
      <c r="J64" s="3"/>
      <c r="K64" s="3"/>
      <c r="L64" s="3" t="s">
        <v>17</v>
      </c>
      <c r="M64" s="3"/>
      <c r="N64" s="3"/>
      <c r="O64" s="3"/>
      <c r="Q64" s="57"/>
      <c r="R64" s="57"/>
      <c r="S64" s="57"/>
      <c r="T64" s="57"/>
      <c r="U64" s="56"/>
    </row>
    <row r="65" ht="12.75" customHeight="1">
      <c r="A65" s="3" t="s">
        <v>43</v>
      </c>
      <c r="B65" s="3" t="s">
        <v>15</v>
      </c>
      <c r="C65" s="3" t="s">
        <v>16</v>
      </c>
      <c r="D65" s="3"/>
      <c r="E65" s="3" t="s">
        <v>17</v>
      </c>
      <c r="F65" s="3"/>
      <c r="G65" s="3"/>
      <c r="H65" s="3"/>
      <c r="I65" s="3"/>
      <c r="J65" s="3"/>
      <c r="K65" s="3"/>
      <c r="L65" s="3"/>
      <c r="M65" s="3"/>
      <c r="N65" s="3"/>
      <c r="O65" s="3"/>
      <c r="Q65" s="57"/>
      <c r="R65" s="57"/>
      <c r="S65" s="57"/>
      <c r="T65" s="57"/>
      <c r="U65" s="56"/>
    </row>
    <row r="66" ht="12.75" customHeight="1">
      <c r="A66" s="3" t="s">
        <v>46</v>
      </c>
      <c r="B66" s="3" t="s">
        <v>15</v>
      </c>
      <c r="C66" s="3"/>
      <c r="D66" s="3" t="s">
        <v>17</v>
      </c>
      <c r="E66" s="3" t="s">
        <v>17</v>
      </c>
      <c r="F66" s="3"/>
      <c r="G66" s="3" t="s">
        <v>17</v>
      </c>
      <c r="H66" s="3"/>
      <c r="I66" s="3"/>
      <c r="J66" s="3"/>
      <c r="K66" s="3"/>
      <c r="L66" s="3" t="s">
        <v>17</v>
      </c>
      <c r="M66" s="3"/>
      <c r="N66" s="3"/>
      <c r="O66" s="3"/>
      <c r="Q66" s="57"/>
      <c r="R66" s="57"/>
      <c r="S66" s="57"/>
      <c r="T66" s="57"/>
      <c r="U66" s="56"/>
    </row>
    <row r="67" ht="12.75" customHeight="1">
      <c r="A67" s="3" t="s">
        <v>47</v>
      </c>
      <c r="B67" s="3" t="s">
        <v>15</v>
      </c>
      <c r="C67" s="3" t="s">
        <v>16</v>
      </c>
      <c r="D67" s="3"/>
      <c r="E67" s="3"/>
      <c r="F67" s="3" t="s">
        <v>15</v>
      </c>
      <c r="G67" s="3" t="s">
        <v>17</v>
      </c>
      <c r="H67" s="3"/>
      <c r="I67" s="3"/>
      <c r="J67" s="3"/>
      <c r="K67" s="3"/>
      <c r="L67" s="3"/>
      <c r="M67" s="3"/>
      <c r="N67" s="3"/>
      <c r="O67" s="3"/>
      <c r="Q67" s="57"/>
      <c r="R67" s="57"/>
      <c r="S67" s="57"/>
      <c r="T67" s="57"/>
      <c r="U67" s="56"/>
    </row>
    <row r="68" ht="12.75" customHeight="1">
      <c r="A68" s="2" t="s">
        <v>50</v>
      </c>
      <c r="B68" s="3" t="s">
        <v>16</v>
      </c>
      <c r="C68" s="3" t="s">
        <v>15</v>
      </c>
      <c r="D68" s="3" t="s">
        <v>17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Q68" s="57"/>
      <c r="R68" s="57"/>
      <c r="S68" s="57"/>
      <c r="T68" s="57"/>
      <c r="U68" s="56"/>
    </row>
    <row r="69" ht="12.75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U69" s="56"/>
    </row>
    <row r="70" ht="12.75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U70" s="56"/>
    </row>
    <row r="71" ht="12.75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U71" s="56"/>
    </row>
    <row r="72" ht="12.75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U72" s="56"/>
    </row>
    <row r="73" ht="12.75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U73" s="56"/>
    </row>
    <row r="74" ht="12.75" customHeight="1">
      <c r="A74" s="60" t="s">
        <v>613</v>
      </c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47"/>
      <c r="T74" s="47"/>
      <c r="U74" s="47"/>
    </row>
    <row r="75" ht="12.75" customHeight="1">
      <c r="A75" s="2" t="s">
        <v>89</v>
      </c>
      <c r="B75" s="3">
        <f t="array" ref="B75">SUM(IF(B4:B74="v",1))</f>
        <v>10</v>
      </c>
      <c r="C75" s="3">
        <f t="array" ref="C75">SUM(IF(C4:C74="v",1))</f>
        <v>10</v>
      </c>
      <c r="D75" s="3">
        <f t="array" ref="D75">SUM(IF(D4:D74="v",1))</f>
        <v>8</v>
      </c>
      <c r="E75" s="3">
        <f t="array" ref="E75">SUM(IF(E4:E74="v",1))</f>
        <v>11</v>
      </c>
      <c r="F75" s="3">
        <f t="array" ref="F75">SUM(IF(F4:F74="v",1))</f>
        <v>11</v>
      </c>
      <c r="G75" s="3">
        <f t="array" ref="G75">SUM(IF(G4:G74="v",1))</f>
        <v>10</v>
      </c>
      <c r="H75" s="3">
        <f t="array" ref="H75">SUM(IF(H4:H74="v",1))</f>
        <v>10</v>
      </c>
      <c r="I75" s="3">
        <f t="array" ref="I75">SUM(IF(I8:I74="v",1))</f>
        <v>11</v>
      </c>
      <c r="J75" s="3">
        <f t="array" ref="J75">SUM(IF(J4:J74="v",1))</f>
        <v>10</v>
      </c>
      <c r="K75" s="3">
        <f t="array" ref="K75">SUM(IF(K4:K74="v",1))</f>
        <v>1</v>
      </c>
      <c r="L75" s="3">
        <f t="array" ref="L75">SUM(IF(L4:L74="v",1))</f>
        <v>5</v>
      </c>
      <c r="M75" s="3">
        <f t="array" ref="M75">SUM(IF(M8:M74="v",1))</f>
        <v>3</v>
      </c>
      <c r="N75" s="3">
        <f t="array" ref="N75">SUM(IF(N8:N74="v",1))</f>
        <v>0</v>
      </c>
      <c r="O75" s="3">
        <f t="array" ref="O75">SUM(IF(O8:O74="v",1))</f>
        <v>1</v>
      </c>
      <c r="P75" s="3">
        <f t="array" ref="P75">SUM(IF(P8:P74="v",1))</f>
        <v>1</v>
      </c>
      <c r="Q75" s="3">
        <f t="array" ref="Q75">SUM(IF(Q8:Q74="v",1))</f>
        <v>1</v>
      </c>
      <c r="R75" s="3">
        <f t="array" ref="R75">SUM(IF(R8:R74="v",1))</f>
        <v>0</v>
      </c>
      <c r="S75" s="3">
        <f t="array" ref="S75">SUM(IF(S8:S74="v",1))</f>
        <v>0</v>
      </c>
      <c r="T75" s="3">
        <f t="array" ref="T75">SUM(IF(T8:T74="v",1))</f>
        <v>0</v>
      </c>
      <c r="U75" s="2" t="s">
        <v>89</v>
      </c>
    </row>
    <row r="76" ht="12.75" customHeight="1">
      <c r="A76" s="2" t="s">
        <v>90</v>
      </c>
      <c r="B76" s="3">
        <f t="array" ref="B76">SUM(IF(B4:B74="x",1))</f>
        <v>0</v>
      </c>
      <c r="C76" s="3">
        <f t="array" ref="C76">SUM(IF(C4:C74="x",1))</f>
        <v>16</v>
      </c>
      <c r="D76" s="3">
        <f t="array" ref="D76">SUM(IF(D4:D74="x",1))</f>
        <v>17</v>
      </c>
      <c r="E76" s="3">
        <f t="array" ref="E76">SUM(IF(E4:E74="x",1))</f>
        <v>12</v>
      </c>
      <c r="F76" s="3">
        <f t="array" ref="F76">SUM(IF(F4:F74="x",1))</f>
        <v>1</v>
      </c>
      <c r="G76" s="3">
        <f t="array" ref="G76">SUM(IF(G4:G74="x",1))</f>
        <v>11</v>
      </c>
      <c r="H76" s="3">
        <f t="array" ref="H76">SUM(IF(H4:H74="x",1))</f>
        <v>18</v>
      </c>
      <c r="I76" s="3">
        <f t="array" ref="I76">SUM(IF(I8:I74="x",1))</f>
        <v>18</v>
      </c>
      <c r="J76" s="3">
        <f t="array" ref="J76">SUM(IF(J4:J74="x",1))</f>
        <v>20</v>
      </c>
      <c r="K76" s="3">
        <f t="array" ref="K76">SUM(IF(K4:K74="x",1))</f>
        <v>29</v>
      </c>
      <c r="L76" s="3">
        <f t="array" ref="L76">SUM(IF(L4:L74="x",1))</f>
        <v>27</v>
      </c>
      <c r="M76" s="3">
        <f t="array" ref="M76">SUM(IF(M8:M74="x",1))</f>
        <v>34</v>
      </c>
      <c r="N76" s="3">
        <f t="array" ref="N76">SUM(IF(N8:N74="x",1))</f>
        <v>39</v>
      </c>
      <c r="O76" s="3">
        <f t="array" ref="O76">SUM(IF(O8:O74="x",1))</f>
        <v>32</v>
      </c>
      <c r="P76" s="3">
        <f t="array" ref="P76">SUM(IF(P8:P74="x",1))</f>
        <v>27</v>
      </c>
      <c r="Q76" s="3">
        <f t="array" ref="Q76">SUM(IF(Q8:Q74="x",1))</f>
        <v>13</v>
      </c>
      <c r="R76" s="3">
        <f t="array" ref="R76">SUM(IF(R8:R74="x",1))</f>
        <v>6</v>
      </c>
      <c r="S76" s="3">
        <f t="array" ref="S76">SUM(IF(S8:S74="x",1))</f>
        <v>0</v>
      </c>
      <c r="T76" s="3">
        <f t="array" ref="T76">SUM(IF(T8:T74="x",1))</f>
        <v>0</v>
      </c>
      <c r="U76" s="2" t="s">
        <v>90</v>
      </c>
    </row>
    <row r="77" ht="12.75" customHeight="1">
      <c r="A77" s="2" t="s">
        <v>128</v>
      </c>
      <c r="B77" s="3">
        <f t="shared" ref="B77:T77" si="1">B75+B78+B79+B80</f>
        <v>50</v>
      </c>
      <c r="C77" s="3">
        <f t="shared" si="1"/>
        <v>32</v>
      </c>
      <c r="D77" s="3">
        <f t="shared" si="1"/>
        <v>28</v>
      </c>
      <c r="E77" s="3">
        <f t="shared" si="1"/>
        <v>30</v>
      </c>
      <c r="F77" s="3">
        <f t="shared" si="1"/>
        <v>46</v>
      </c>
      <c r="G77" s="3">
        <f t="shared" si="1"/>
        <v>33</v>
      </c>
      <c r="H77" s="3">
        <f t="shared" si="1"/>
        <v>22</v>
      </c>
      <c r="I77" s="3">
        <f t="shared" si="1"/>
        <v>22</v>
      </c>
      <c r="J77" s="3">
        <f t="shared" si="1"/>
        <v>20</v>
      </c>
      <c r="K77" s="3">
        <f t="shared" si="1"/>
        <v>9</v>
      </c>
      <c r="L77" s="3">
        <f t="shared" si="1"/>
        <v>13</v>
      </c>
      <c r="M77" s="3">
        <f t="shared" si="1"/>
        <v>5</v>
      </c>
      <c r="N77" s="3">
        <f t="shared" si="1"/>
        <v>0</v>
      </c>
      <c r="O77" s="3">
        <f t="shared" si="1"/>
        <v>3</v>
      </c>
      <c r="P77" s="3">
        <f t="shared" si="1"/>
        <v>1</v>
      </c>
      <c r="Q77" s="3">
        <f t="shared" si="1"/>
        <v>3</v>
      </c>
      <c r="R77" s="3">
        <f t="shared" si="1"/>
        <v>1</v>
      </c>
      <c r="S77" s="3">
        <f t="shared" si="1"/>
        <v>1</v>
      </c>
      <c r="T77" s="3">
        <f t="shared" si="1"/>
        <v>2</v>
      </c>
      <c r="U77" s="2" t="s">
        <v>128</v>
      </c>
    </row>
    <row r="78" ht="12.75" customHeight="1">
      <c r="A78" s="2" t="s">
        <v>17</v>
      </c>
      <c r="B78" s="3">
        <f t="array" ref="B78">SUM(IF(B$4:B$74=$A78,1))</f>
        <v>4</v>
      </c>
      <c r="C78" s="3">
        <f t="array" ref="C78">SUM(IF(C$4:C$74=$A78,1))</f>
        <v>7</v>
      </c>
      <c r="D78" s="3">
        <f t="array" ref="D78">SUM(IF(D$4:D$74=$A78,1))</f>
        <v>8</v>
      </c>
      <c r="E78" s="3">
        <f t="array" ref="E78">SUM(IF(E$4:E$74=$A78,1))</f>
        <v>12</v>
      </c>
      <c r="F78" s="3">
        <f t="array" ref="F78">SUM(IF(F$4:F$74=$A78,1))</f>
        <v>12</v>
      </c>
      <c r="G78" s="3">
        <f t="array" ref="G78">SUM(IF(G$4:G$74=$A78,1))</f>
        <v>10</v>
      </c>
      <c r="H78" s="3">
        <f t="array" ref="H78">SUM(IF(H$4:H$74=$A78,1))</f>
        <v>6</v>
      </c>
      <c r="I78" s="3">
        <f t="array" ref="I78">SUM(IF(I$4:I$74=$A78,1))</f>
        <v>2</v>
      </c>
      <c r="J78" s="3">
        <f t="array" ref="J78">SUM(IF(J$4:J$74=$A78,1))</f>
        <v>5</v>
      </c>
      <c r="K78" s="3">
        <f t="array" ref="K78">SUM(IF(K$4:K$74=$A78,1))</f>
        <v>3</v>
      </c>
      <c r="L78" s="3">
        <f t="array" ref="L78">SUM(IF(L$4:L$74=$A78,1))</f>
        <v>4</v>
      </c>
      <c r="M78" s="3">
        <f t="array" ref="M78">SUM(IF(M$8:M$74=$A78,1))</f>
        <v>0</v>
      </c>
      <c r="N78" s="3">
        <f t="array" ref="N78">SUM(IF(N$8:N$74=$A78,1))</f>
        <v>0</v>
      </c>
      <c r="O78" s="3">
        <f t="array" ref="O78">SUM(IF(O$8:O$74=$A78,1))</f>
        <v>1</v>
      </c>
      <c r="P78" s="3">
        <f t="array" ref="P78">SUM(IF(P$8:P$74=$A78,1))</f>
        <v>0</v>
      </c>
      <c r="Q78" s="3">
        <f t="array" ref="Q78">SUM(IF(Q$8:Q$74=$A78,1))</f>
        <v>1</v>
      </c>
      <c r="R78" s="3">
        <f t="array" ref="R78">SUM(IF(R$8:R$74=$A78,1))</f>
        <v>0</v>
      </c>
      <c r="S78" s="3">
        <f t="array" ref="S78">SUM(IF(S$8:S$74=$A78,1))</f>
        <v>0</v>
      </c>
      <c r="T78" s="3">
        <f t="array" ref="T78">SUM(IF(T$8:T$74=$A78,1))</f>
        <v>0</v>
      </c>
      <c r="U78" s="2" t="s">
        <v>17</v>
      </c>
    </row>
    <row r="79" ht="12.75" customHeight="1">
      <c r="A79" s="2" t="s">
        <v>15</v>
      </c>
      <c r="B79" s="3">
        <f t="array" ref="B79">SUM(IF(B$4:B$74=$A79,1))</f>
        <v>25</v>
      </c>
      <c r="C79" s="3">
        <f t="array" ref="C79">SUM(IF(C$4:C$74=$A79,1))</f>
        <v>7</v>
      </c>
      <c r="D79" s="3">
        <f t="array" ref="D79">SUM(IF(D$4:D$74=$A79,1))</f>
        <v>3</v>
      </c>
      <c r="E79" s="3">
        <f t="array" ref="E79">SUM(IF(E$4:E$74=$A79,1))</f>
        <v>4</v>
      </c>
      <c r="F79" s="3">
        <f t="array" ref="F79">SUM(IF(F$4:F$74=$A79,1))</f>
        <v>12</v>
      </c>
      <c r="G79" s="3">
        <f t="array" ref="G79">SUM(IF(G$4:G$74=$A79,1))</f>
        <v>7</v>
      </c>
      <c r="H79" s="3">
        <f t="array" ref="H79">SUM(IF(H$4:H$74=$A79,1))</f>
        <v>4</v>
      </c>
      <c r="I79" s="3">
        <f t="array" ref="I79">SUM(IF(I$4:I$74=$A79,1))</f>
        <v>5</v>
      </c>
      <c r="J79" s="3">
        <f t="array" ref="J79">SUM(IF(J$4:J$74=$A79,1))</f>
        <v>3</v>
      </c>
      <c r="K79" s="3">
        <f t="array" ref="K79">SUM(IF(K$4:K$74=$A79,1))</f>
        <v>4</v>
      </c>
      <c r="L79" s="3">
        <f t="array" ref="L79">SUM(IF(L$4:L$74=$A79,1))</f>
        <v>2</v>
      </c>
      <c r="M79" s="3">
        <f t="array" ref="M79">SUM(IF(M$8:M$74=$A79,1))</f>
        <v>1</v>
      </c>
      <c r="N79" s="3">
        <f t="array" ref="N79">SUM(IF(N$8:N$74=$A79,1))</f>
        <v>0</v>
      </c>
      <c r="O79" s="3">
        <f t="array" ref="O79">SUM(IF(O$8:O$74=$A79,1))</f>
        <v>1</v>
      </c>
      <c r="P79" s="3">
        <f t="array" ref="P79">SUM(IF(P$8:P$74=$A79,1))</f>
        <v>0</v>
      </c>
      <c r="Q79" s="3">
        <f t="array" ref="Q79">SUM(IF(Q$8:Q$74=$A79,1))</f>
        <v>1</v>
      </c>
      <c r="R79" s="3">
        <f t="array" ref="R79">SUM(IF(R$8:R$74=$A79,1))</f>
        <v>1</v>
      </c>
      <c r="S79" s="3">
        <f t="array" ref="S79">SUM(IF(S$8:S$74=$A79,1))</f>
        <v>1</v>
      </c>
      <c r="T79" s="3">
        <f t="array" ref="T79">SUM(IF(T$8:T$74=$A79,1))</f>
        <v>1</v>
      </c>
      <c r="U79" s="2" t="s">
        <v>15</v>
      </c>
    </row>
    <row r="80" ht="12.75" customHeight="1">
      <c r="A80" s="2" t="s">
        <v>16</v>
      </c>
      <c r="B80" s="3">
        <f t="array" ref="B80">SUM(IF(B$4:B$74=$A80,1))</f>
        <v>11</v>
      </c>
      <c r="C80" s="3">
        <f t="array" ref="C80">SUM(IF(C$4:C$74=$A80,1))</f>
        <v>8</v>
      </c>
      <c r="D80" s="3">
        <f t="array" ref="D80">SUM(IF(D$4:D$74=$A80,1))</f>
        <v>9</v>
      </c>
      <c r="E80" s="3">
        <f t="array" ref="E80">SUM(IF(E$4:E$74=$A80,1))</f>
        <v>3</v>
      </c>
      <c r="F80" s="3">
        <f t="array" ref="F80">SUM(IF(F$4:F$74=$A80,1))</f>
        <v>11</v>
      </c>
      <c r="G80" s="3">
        <f t="array" ref="G80">SUM(IF(G$4:G$74=$A80,1))</f>
        <v>6</v>
      </c>
      <c r="H80" s="3">
        <f t="array" ref="H80">SUM(IF(H$4:H$74=$A80,1))</f>
        <v>2</v>
      </c>
      <c r="I80" s="3">
        <f t="array" ref="I80">SUM(IF(I$4:I$74=$A80,1))</f>
        <v>4</v>
      </c>
      <c r="J80" s="3">
        <f t="array" ref="J80">SUM(IF(J$4:J$74=$A80,1))</f>
        <v>2</v>
      </c>
      <c r="K80" s="3">
        <f t="array" ref="K80">SUM(IF(K$4:K$74=$A80,1))</f>
        <v>1</v>
      </c>
      <c r="L80" s="3">
        <f t="array" ref="L80">SUM(IF(L$4:L$74=$A80,1))</f>
        <v>2</v>
      </c>
      <c r="M80" s="3">
        <f t="array" ref="M80">SUM(IF(M$8:M$74=$A80,1))</f>
        <v>1</v>
      </c>
      <c r="N80" s="3">
        <f t="array" ref="N80">SUM(IF(N$8:N$74=$A80,1))</f>
        <v>0</v>
      </c>
      <c r="O80" s="3">
        <f t="array" ref="O80">SUM(IF(O$8:O$74=$A80,1))</f>
        <v>0</v>
      </c>
      <c r="P80" s="3">
        <f t="array" ref="P80">SUM(IF(P$8:P$74=$A80,1))</f>
        <v>0</v>
      </c>
      <c r="Q80" s="3">
        <f t="array" ref="Q80">SUM(IF(Q$8:Q$74=$A80,1))</f>
        <v>0</v>
      </c>
      <c r="R80" s="3">
        <f t="array" ref="R80">SUM(IF(R$8:R$74=$A80,1))</f>
        <v>0</v>
      </c>
      <c r="S80" s="3">
        <f t="array" ref="S80">SUM(IF(S$8:S$74=$A80,1))</f>
        <v>0</v>
      </c>
      <c r="T80" s="3">
        <f t="array" ref="T80">SUM(IF(T$8:T$74=$A80,1))</f>
        <v>1</v>
      </c>
      <c r="U80" s="2" t="s">
        <v>16</v>
      </c>
    </row>
    <row r="81" ht="12.75" customHeight="1">
      <c r="A81" s="4" t="s">
        <v>129</v>
      </c>
      <c r="B81" s="4">
        <f t="shared" ref="B81:T81" si="2">B78+B79*2+B80*3</f>
        <v>87</v>
      </c>
      <c r="C81" s="4">
        <f t="shared" si="2"/>
        <v>45</v>
      </c>
      <c r="D81" s="4">
        <f t="shared" si="2"/>
        <v>41</v>
      </c>
      <c r="E81" s="4">
        <f t="shared" si="2"/>
        <v>29</v>
      </c>
      <c r="F81" s="4">
        <f t="shared" si="2"/>
        <v>69</v>
      </c>
      <c r="G81" s="4">
        <f t="shared" si="2"/>
        <v>42</v>
      </c>
      <c r="H81" s="4">
        <f t="shared" si="2"/>
        <v>20</v>
      </c>
      <c r="I81" s="4">
        <f t="shared" si="2"/>
        <v>24</v>
      </c>
      <c r="J81" s="4">
        <f t="shared" si="2"/>
        <v>17</v>
      </c>
      <c r="K81" s="4">
        <f t="shared" si="2"/>
        <v>14</v>
      </c>
      <c r="L81" s="4">
        <f t="shared" si="2"/>
        <v>14</v>
      </c>
      <c r="M81" s="4">
        <f t="shared" si="2"/>
        <v>5</v>
      </c>
      <c r="N81" s="4">
        <f t="shared" si="2"/>
        <v>0</v>
      </c>
      <c r="O81" s="4">
        <f t="shared" si="2"/>
        <v>3</v>
      </c>
      <c r="P81" s="4">
        <f t="shared" si="2"/>
        <v>0</v>
      </c>
      <c r="Q81" s="4">
        <f t="shared" si="2"/>
        <v>3</v>
      </c>
      <c r="R81" s="4">
        <f t="shared" si="2"/>
        <v>2</v>
      </c>
      <c r="S81" s="4">
        <f t="shared" si="2"/>
        <v>2</v>
      </c>
      <c r="T81" s="4">
        <f t="shared" si="2"/>
        <v>5</v>
      </c>
      <c r="U81" s="4" t="s">
        <v>129</v>
      </c>
    </row>
    <row r="82" ht="12.75" customHeight="1">
      <c r="A82" s="2" t="s">
        <v>130</v>
      </c>
      <c r="B82" s="11">
        <f t="shared" ref="B82:T82" si="3">IF(B75+B78+B79+B80&lt;&gt;0,B81/(B75+B78+B79+B80),0)</f>
        <v>1.74</v>
      </c>
      <c r="C82" s="11">
        <f t="shared" si="3"/>
        <v>1.40625</v>
      </c>
      <c r="D82" s="11">
        <f t="shared" si="3"/>
        <v>1.464285714</v>
      </c>
      <c r="E82" s="11">
        <f t="shared" si="3"/>
        <v>0.9666666667</v>
      </c>
      <c r="F82" s="11">
        <f t="shared" si="3"/>
        <v>1.5</v>
      </c>
      <c r="G82" s="11">
        <f t="shared" si="3"/>
        <v>1.272727273</v>
      </c>
      <c r="H82" s="11">
        <f t="shared" si="3"/>
        <v>0.9090909091</v>
      </c>
      <c r="I82" s="11">
        <f t="shared" si="3"/>
        <v>1.090909091</v>
      </c>
      <c r="J82" s="11">
        <f t="shared" si="3"/>
        <v>0.85</v>
      </c>
      <c r="K82" s="11">
        <f t="shared" si="3"/>
        <v>1.555555556</v>
      </c>
      <c r="L82" s="11">
        <f t="shared" si="3"/>
        <v>1.076923077</v>
      </c>
      <c r="M82" s="11">
        <f t="shared" si="3"/>
        <v>1</v>
      </c>
      <c r="N82" s="11">
        <f t="shared" si="3"/>
        <v>0</v>
      </c>
      <c r="O82" s="11">
        <f t="shared" si="3"/>
        <v>1</v>
      </c>
      <c r="P82" s="11">
        <f t="shared" si="3"/>
        <v>0</v>
      </c>
      <c r="Q82" s="11">
        <f t="shared" si="3"/>
        <v>1</v>
      </c>
      <c r="R82" s="11">
        <f t="shared" si="3"/>
        <v>2</v>
      </c>
      <c r="S82" s="11">
        <f t="shared" si="3"/>
        <v>2</v>
      </c>
      <c r="T82" s="11">
        <f t="shared" si="3"/>
        <v>2.5</v>
      </c>
      <c r="U82" s="2" t="s">
        <v>130</v>
      </c>
    </row>
    <row r="83" ht="12.75" customHeight="1">
      <c r="A83" s="2" t="s">
        <v>363</v>
      </c>
      <c r="B83" s="2">
        <f t="shared" ref="B83:T83" si="4">B80+B79+B78</f>
        <v>40</v>
      </c>
      <c r="C83" s="2">
        <f t="shared" si="4"/>
        <v>22</v>
      </c>
      <c r="D83" s="2">
        <f t="shared" si="4"/>
        <v>20</v>
      </c>
      <c r="E83" s="2">
        <f t="shared" si="4"/>
        <v>19</v>
      </c>
      <c r="F83" s="2">
        <f t="shared" si="4"/>
        <v>35</v>
      </c>
      <c r="G83" s="2">
        <f t="shared" si="4"/>
        <v>23</v>
      </c>
      <c r="H83" s="2">
        <f t="shared" si="4"/>
        <v>12</v>
      </c>
      <c r="I83" s="2">
        <f t="shared" si="4"/>
        <v>11</v>
      </c>
      <c r="J83" s="2">
        <f t="shared" si="4"/>
        <v>10</v>
      </c>
      <c r="K83" s="2">
        <f t="shared" si="4"/>
        <v>8</v>
      </c>
      <c r="L83" s="2">
        <f t="shared" si="4"/>
        <v>8</v>
      </c>
      <c r="M83" s="2">
        <f t="shared" si="4"/>
        <v>2</v>
      </c>
      <c r="N83" s="2">
        <f t="shared" si="4"/>
        <v>0</v>
      </c>
      <c r="O83" s="2">
        <f t="shared" si="4"/>
        <v>2</v>
      </c>
      <c r="P83" s="2">
        <f t="shared" si="4"/>
        <v>0</v>
      </c>
      <c r="Q83" s="2">
        <f t="shared" si="4"/>
        <v>2</v>
      </c>
      <c r="R83" s="2">
        <f t="shared" si="4"/>
        <v>1</v>
      </c>
      <c r="S83" s="2">
        <f t="shared" si="4"/>
        <v>1</v>
      </c>
      <c r="T83" s="2">
        <f t="shared" si="4"/>
        <v>2</v>
      </c>
      <c r="U83" s="2" t="s">
        <v>363</v>
      </c>
    </row>
    <row r="84" ht="12.75" customHeight="1">
      <c r="A84" s="2" t="s">
        <v>131</v>
      </c>
      <c r="B84" s="3">
        <f t="shared" ref="B84:T84" si="5">B77+B76</f>
        <v>50</v>
      </c>
      <c r="C84" s="3">
        <f t="shared" si="5"/>
        <v>48</v>
      </c>
      <c r="D84" s="3">
        <f t="shared" si="5"/>
        <v>45</v>
      </c>
      <c r="E84" s="3">
        <f t="shared" si="5"/>
        <v>42</v>
      </c>
      <c r="F84" s="3">
        <f t="shared" si="5"/>
        <v>47</v>
      </c>
      <c r="G84" s="3">
        <f t="shared" si="5"/>
        <v>44</v>
      </c>
      <c r="H84" s="3">
        <f t="shared" si="5"/>
        <v>40</v>
      </c>
      <c r="I84" s="3">
        <f t="shared" si="5"/>
        <v>40</v>
      </c>
      <c r="J84" s="3">
        <f t="shared" si="5"/>
        <v>40</v>
      </c>
      <c r="K84" s="3">
        <f t="shared" si="5"/>
        <v>38</v>
      </c>
      <c r="L84" s="3">
        <f t="shared" si="5"/>
        <v>40</v>
      </c>
      <c r="M84" s="3">
        <f t="shared" si="5"/>
        <v>39</v>
      </c>
      <c r="N84" s="3">
        <f t="shared" si="5"/>
        <v>39</v>
      </c>
      <c r="O84" s="3">
        <f t="shared" si="5"/>
        <v>35</v>
      </c>
      <c r="P84" s="3">
        <f t="shared" si="5"/>
        <v>28</v>
      </c>
      <c r="Q84" s="3">
        <f t="shared" si="5"/>
        <v>16</v>
      </c>
      <c r="R84" s="3">
        <f t="shared" si="5"/>
        <v>7</v>
      </c>
      <c r="S84" s="3">
        <f t="shared" si="5"/>
        <v>1</v>
      </c>
      <c r="T84" s="3">
        <f t="shared" si="5"/>
        <v>2</v>
      </c>
      <c r="U84" s="2" t="s">
        <v>131</v>
      </c>
    </row>
    <row r="85" ht="12.75" customHeight="1"/>
    <row r="86" ht="12.75" customHeight="1">
      <c r="A86" s="60" t="s">
        <v>613</v>
      </c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47"/>
      <c r="T86" s="47"/>
      <c r="U86" s="47"/>
    </row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74:R74"/>
    <mergeCell ref="A86:R86"/>
  </mergeCells>
  <conditionalFormatting sqref="B54:O60">
    <cfRule type="cellIs" dxfId="0" priority="1" stopIfTrue="1" operator="equal">
      <formula>"PLATA"</formula>
    </cfRule>
  </conditionalFormatting>
  <conditionalFormatting sqref="B54:O60">
    <cfRule type="cellIs" dxfId="1" priority="2" stopIfTrue="1" operator="equal">
      <formula>"ORO"</formula>
    </cfRule>
  </conditionalFormatting>
  <conditionalFormatting sqref="B54:O60">
    <cfRule type="cellIs" dxfId="2" priority="3" stopIfTrue="1" operator="equal">
      <formula>"BRONCE"</formula>
    </cfRule>
  </conditionalFormatting>
  <conditionalFormatting sqref="B38:P41 B62:O73">
    <cfRule type="cellIs" dxfId="0" priority="4" stopIfTrue="1" operator="equal">
      <formula>"PLATA"</formula>
    </cfRule>
  </conditionalFormatting>
  <conditionalFormatting sqref="B38:P41 B62:O73">
    <cfRule type="cellIs" dxfId="1" priority="5" stopIfTrue="1" operator="equal">
      <formula>"ORO"</formula>
    </cfRule>
  </conditionalFormatting>
  <conditionalFormatting sqref="B38:P41 B62:O73">
    <cfRule type="cellIs" dxfId="2" priority="6" stopIfTrue="1" operator="equal">
      <formula>"BRONCE"</formula>
    </cfRule>
  </conditionalFormatting>
  <conditionalFormatting sqref="B43:P44">
    <cfRule type="cellIs" dxfId="0" priority="7" stopIfTrue="1" operator="equal">
      <formula>"PLATA"</formula>
    </cfRule>
  </conditionalFormatting>
  <conditionalFormatting sqref="B43:P44">
    <cfRule type="cellIs" dxfId="1" priority="8" stopIfTrue="1" operator="equal">
      <formula>"ORO"</formula>
    </cfRule>
  </conditionalFormatting>
  <conditionalFormatting sqref="B43:P44">
    <cfRule type="cellIs" dxfId="2" priority="9" stopIfTrue="1" operator="equal">
      <formula>"BRONCE"</formula>
    </cfRule>
  </conditionalFormatting>
  <conditionalFormatting sqref="B46:P52">
    <cfRule type="cellIs" dxfId="0" priority="10" stopIfTrue="1" operator="equal">
      <formula>"PLATA"</formula>
    </cfRule>
  </conditionalFormatting>
  <conditionalFormatting sqref="B46:P52">
    <cfRule type="cellIs" dxfId="1" priority="11" stopIfTrue="1" operator="equal">
      <formula>"ORO"</formula>
    </cfRule>
  </conditionalFormatting>
  <conditionalFormatting sqref="B46:P52">
    <cfRule type="cellIs" dxfId="2" priority="12" stopIfTrue="1" operator="equal">
      <formula>"BRONCE"</formula>
    </cfRule>
  </conditionalFormatting>
  <conditionalFormatting sqref="B75:Q80 R75:T82">
    <cfRule type="cellIs" dxfId="0" priority="13" stopIfTrue="1" operator="equal">
      <formula>"PLATA"</formula>
    </cfRule>
  </conditionalFormatting>
  <conditionalFormatting sqref="B75:Q80 R75:T82">
    <cfRule type="cellIs" dxfId="1" priority="14" stopIfTrue="1" operator="equal">
      <formula>"ORO"</formula>
    </cfRule>
  </conditionalFormatting>
  <conditionalFormatting sqref="B75:Q80 R75:T82">
    <cfRule type="cellIs" dxfId="2" priority="15" stopIfTrue="1" operator="equal">
      <formula>"BRONCE"</formula>
    </cfRule>
  </conditionalFormatting>
  <conditionalFormatting sqref="M38:N41">
    <cfRule type="cellIs" dxfId="0" priority="16" stopIfTrue="1" operator="equal">
      <formula>"PLATA"</formula>
    </cfRule>
  </conditionalFormatting>
  <conditionalFormatting sqref="M38:N41">
    <cfRule type="cellIs" dxfId="1" priority="17" stopIfTrue="1" operator="equal">
      <formula>"ORO"</formula>
    </cfRule>
  </conditionalFormatting>
  <conditionalFormatting sqref="M38:N41">
    <cfRule type="cellIs" dxfId="2" priority="18" stopIfTrue="1" operator="equal">
      <formula>"BRONCE"</formula>
    </cfRule>
  </conditionalFormatting>
  <conditionalFormatting sqref="B75:Q82 R75:T76 R78:T80">
    <cfRule type="cellIs" dxfId="0" priority="19" stopIfTrue="1" operator="equal">
      <formula>"PLATA"</formula>
    </cfRule>
  </conditionalFormatting>
  <conditionalFormatting sqref="B75:Q82 R75:T76 R78:T80">
    <cfRule type="cellIs" dxfId="1" priority="20" stopIfTrue="1" operator="equal">
      <formula>"ORO"</formula>
    </cfRule>
  </conditionalFormatting>
  <conditionalFormatting sqref="B75:Q82 R75:T76 R78:T80">
    <cfRule type="cellIs" dxfId="2" priority="21" stopIfTrue="1" operator="equal">
      <formula>"BRONCE"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8" width="10.75"/>
  </cols>
  <sheetData>
    <row r="1" ht="12.75" customHeight="1">
      <c r="A1" s="62" t="s">
        <v>614</v>
      </c>
      <c r="B1" s="63" t="s">
        <v>0</v>
      </c>
      <c r="C1" s="63" t="s">
        <v>1</v>
      </c>
      <c r="D1" s="64" t="s">
        <v>2</v>
      </c>
      <c r="E1" s="63" t="s">
        <v>3</v>
      </c>
      <c r="F1" s="64" t="s">
        <v>4</v>
      </c>
      <c r="G1" s="64" t="s">
        <v>5</v>
      </c>
      <c r="H1" s="64" t="s">
        <v>6</v>
      </c>
      <c r="I1" s="64" t="s">
        <v>7</v>
      </c>
      <c r="J1" s="64" t="s">
        <v>8</v>
      </c>
      <c r="K1" s="64" t="s">
        <v>9</v>
      </c>
      <c r="L1" s="64" t="s">
        <v>10</v>
      </c>
      <c r="M1" s="63" t="s">
        <v>11</v>
      </c>
      <c r="N1" s="63" t="s">
        <v>12</v>
      </c>
      <c r="O1" s="64" t="s">
        <v>150</v>
      </c>
      <c r="P1" s="64" t="s">
        <v>151</v>
      </c>
      <c r="Q1" s="64" t="s">
        <v>345</v>
      </c>
      <c r="R1" s="64" t="s">
        <v>413</v>
      </c>
      <c r="S1" s="64" t="s">
        <v>472</v>
      </c>
      <c r="T1" s="64" t="s">
        <v>515</v>
      </c>
      <c r="U1" s="64" t="s">
        <v>615</v>
      </c>
      <c r="V1" s="65" t="str">
        <f>A1</f>
        <v>Total</v>
      </c>
      <c r="W1" s="46"/>
      <c r="X1" s="46"/>
      <c r="Y1" s="46"/>
      <c r="Z1" s="46"/>
      <c r="AA1" s="46"/>
      <c r="AB1" s="46"/>
    </row>
    <row r="2" ht="12.75" customHeight="1">
      <c r="A2" s="2" t="s">
        <v>616</v>
      </c>
      <c r="B2" s="2">
        <f>'2024'!B122</f>
        <v>1191.75</v>
      </c>
      <c r="C2" s="2">
        <f>'2024'!C122</f>
        <v>459.5</v>
      </c>
      <c r="D2" s="2">
        <f>'2024'!D122</f>
        <v>518</v>
      </c>
      <c r="E2" s="2">
        <f>'2024'!E122</f>
        <v>571.25</v>
      </c>
      <c r="F2" s="2">
        <f>'2024'!F122</f>
        <v>1440.25</v>
      </c>
      <c r="G2" s="2">
        <f>'2024'!G122</f>
        <v>407</v>
      </c>
      <c r="H2" s="2">
        <f>'2024'!H122</f>
        <v>543.25</v>
      </c>
      <c r="I2" s="2">
        <f>'2024'!I122</f>
        <v>662.5</v>
      </c>
      <c r="J2" s="2">
        <f>'2024'!J122</f>
        <v>650</v>
      </c>
      <c r="K2" s="2">
        <f>'2024'!K122</f>
        <v>256</v>
      </c>
      <c r="L2" s="2">
        <f>'2024'!L122</f>
        <v>99</v>
      </c>
      <c r="M2" s="2">
        <f>'2024'!M122</f>
        <v>86</v>
      </c>
      <c r="N2" s="2">
        <f>'2024'!N122</f>
        <v>33</v>
      </c>
      <c r="O2" s="2">
        <f>'2024'!O122</f>
        <v>60.25</v>
      </c>
      <c r="P2" s="2" t="str">
        <f>'2022'!P122</f>
        <v>&lt;----------------</v>
      </c>
      <c r="Q2" s="2">
        <f>'2024'!Q122</f>
        <v>48</v>
      </c>
      <c r="R2" s="2">
        <f>'2024'!R122</f>
        <v>94</v>
      </c>
      <c r="S2" s="2">
        <f>'2024'!S122</f>
        <v>18</v>
      </c>
      <c r="T2" s="2">
        <f>'2024'!T122</f>
        <v>62</v>
      </c>
      <c r="U2" s="2">
        <v>0.0</v>
      </c>
    </row>
    <row r="3" ht="12.75" customHeight="1"/>
    <row r="4" ht="12.75" customHeight="1">
      <c r="A4" s="2" t="s">
        <v>617</v>
      </c>
      <c r="B4" s="2">
        <f>'2023'!C126</f>
        <v>810</v>
      </c>
    </row>
    <row r="5" ht="12.75" customHeight="1">
      <c r="A5" s="16" t="s">
        <v>85</v>
      </c>
      <c r="B5" s="16">
        <v>3.0</v>
      </c>
      <c r="C5" s="16">
        <v>2.0</v>
      </c>
      <c r="D5" s="16">
        <v>0.0</v>
      </c>
      <c r="E5" s="16">
        <v>1.0</v>
      </c>
      <c r="F5" s="16">
        <v>11.0</v>
      </c>
      <c r="G5" s="16">
        <v>0.0</v>
      </c>
      <c r="H5" s="16">
        <v>0.0</v>
      </c>
      <c r="I5" s="16">
        <v>0.0</v>
      </c>
      <c r="J5" s="16">
        <v>0.0</v>
      </c>
      <c r="K5" s="16">
        <v>0.0</v>
      </c>
      <c r="L5" s="16">
        <v>0.0</v>
      </c>
      <c r="M5" s="16">
        <v>0.0</v>
      </c>
      <c r="N5" s="16">
        <v>0.0</v>
      </c>
      <c r="O5" s="16">
        <v>0.0</v>
      </c>
      <c r="P5" s="2" t="s">
        <v>376</v>
      </c>
      <c r="Q5" s="3">
        <v>0.0</v>
      </c>
      <c r="R5" s="3">
        <v>0.0</v>
      </c>
      <c r="S5" s="2">
        <v>0.0</v>
      </c>
      <c r="T5" s="16">
        <v>0.0</v>
      </c>
      <c r="U5" s="16">
        <v>0.0</v>
      </c>
      <c r="V5" s="16" t="s">
        <v>85</v>
      </c>
    </row>
    <row r="6" ht="12.75" customHeight="1">
      <c r="A6" s="2" t="s">
        <v>618</v>
      </c>
      <c r="B6" s="2">
        <v>2024.0</v>
      </c>
    </row>
    <row r="7" ht="12.75" customHeight="1"/>
    <row r="8" ht="12.75" customHeight="1">
      <c r="A8" s="2" t="s">
        <v>619</v>
      </c>
    </row>
    <row r="9" ht="12.75" customHeight="1"/>
    <row r="10" ht="12.75" customHeight="1">
      <c r="A10" s="29" t="s">
        <v>16</v>
      </c>
      <c r="B10" s="2">
        <f>'2024'!B105+'2023'!B105+'2022'!B105+'2021'!B105+'2019'!B105+'2018'!B105+'2017'!B105+'2016'!B105+'2015'!B102+'2014'!B105+'2013'!B105+'2012'!B105+'2011'!B105+'2010'!B82</f>
        <v>247</v>
      </c>
      <c r="C10" s="2">
        <f>'2024'!C105+'2023'!C105+'2022'!C105+'2021'!C105+'2019'!C105+'2018'!C105+'2017'!C105+'2016'!C105+'2015'!C102+'2014'!C105+'2013'!C105+'2012'!C105+'2011'!C105+'2010'!C82</f>
        <v>70</v>
      </c>
      <c r="D10" s="2">
        <f>'2024'!D105+'2023'!D105+'2022'!D105+'2021'!D105+'2019'!D105+'2018'!D105+'2017'!D105+'2016'!D105+'2015'!D102+'2014'!D105+'2013'!D105+'2012'!D105+'2011'!D105+'2010'!D82</f>
        <v>102</v>
      </c>
      <c r="E10" s="2">
        <f>'2024'!E105+'2023'!E105+'2022'!E105+'2021'!E105+'2019'!E105+'2018'!E105+'2017'!E105+'2016'!E105+'2015'!E102+'2014'!E105+'2013'!E105+'2012'!E105+'2011'!E105+'2010'!E82</f>
        <v>109</v>
      </c>
      <c r="F10" s="2">
        <f>'2024'!F105+'2023'!F105+'2022'!F105+'2021'!F105+'2019'!F105+'2018'!F105+'2017'!F105+'2016'!F105+'2015'!F102+'2014'!F105+'2013'!F105+'2012'!F105+'2011'!F105+'2010'!F82</f>
        <v>303</v>
      </c>
      <c r="G10" s="2">
        <f>'2024'!G105+'2023'!G105+'2022'!G105+'2021'!G105+'2019'!G105+'2018'!G105+'2017'!G105+'2016'!G105+'2015'!G102+'2014'!G105+'2013'!G105+'2012'!G105+'2011'!G105+'2010'!G82</f>
        <v>66</v>
      </c>
      <c r="H10" s="2">
        <f>'2024'!H105+'2023'!H105+'2022'!H105+'2021'!H105+'2019'!H105+'2018'!H105+'2017'!H105+'2016'!H105+'2015'!H102+'2014'!H105+'2013'!H105+'2012'!H105+'2011'!H105+'2010'!H82</f>
        <v>88</v>
      </c>
      <c r="I10" s="2">
        <f>'2024'!I105+'2023'!I105+'2022'!I105+'2021'!I105+'2019'!I105+'2018'!I105+'2017'!I105+'2016'!I105+'2015'!I102+'2014'!I105+'2013'!I105+'2012'!I105+'2011'!I105+'2010'!I82</f>
        <v>122</v>
      </c>
      <c r="J10" s="2">
        <f>'2024'!J105+'2023'!J105+'2022'!J105+'2021'!J105+'2019'!J105+'2018'!J105+'2017'!J105+'2016'!J105+'2015'!J102+'2014'!J105+'2013'!J105+'2012'!J105+'2011'!J105+'2010'!J82</f>
        <v>109</v>
      </c>
      <c r="K10" s="2">
        <f>'2024'!K105+'2023'!K105+'2022'!K105+'2021'!K105+'2019'!K105+'2018'!K105+'2017'!K105+'2016'!K105+'2015'!K102+'2014'!K105+'2013'!K105+'2012'!K105+'2011'!K105+'2010'!K82</f>
        <v>55</v>
      </c>
      <c r="L10" s="2">
        <f>'2024'!L105+'2023'!L105+'2022'!L105+'2021'!L105+'2019'!L105+'2018'!L105+'2017'!L105+'2016'!L105+'2015'!L102+'2014'!L105+'2013'!L105+'2012'!L105+'2011'!L105+'2010'!L82</f>
        <v>18</v>
      </c>
      <c r="M10" s="2">
        <f>'2024'!M105+'2023'!M105+'2022'!M105+'2021'!M105+'2019'!M105+'2018'!M105+'2017'!M105+'2016'!M105+'2015'!M102+'2014'!M105+'2013'!M105+'2012'!M105+'2011'!M105+'2010'!M82</f>
        <v>14</v>
      </c>
      <c r="N10" s="2">
        <f>'2024'!N105+'2023'!N105+'2022'!N105+'2021'!N105+'2019'!N105+'2018'!N105+'2017'!N105+'2016'!N105+'2015'!N102+'2014'!N105+'2013'!N105+'2012'!N105+'2011'!N105+'2010'!N82</f>
        <v>5</v>
      </c>
      <c r="O10" s="2">
        <f>'2024'!O105+'2023'!O105+'2022'!O105+'2021'!O105+'2019'!O105+'2018'!O105+'2017'!O105+'2016'!O105+'2015'!O102+'2014'!O105+'2013'!O105+'2012'!O105+'2011'!O105+'2010'!O82</f>
        <v>9</v>
      </c>
      <c r="P10" s="2">
        <f>'2024'!P105+'2023'!P105+'2022'!P105+'2021'!P105+'2019'!P105+'2018'!P105+'2017'!P105+'2016'!P105+'2015'!P102+'2014'!P105+'2013'!P105+'2012'!P105+'2011'!P105+'2010'!P82</f>
        <v>0</v>
      </c>
      <c r="Q10" s="2">
        <f>'2024'!Q105+'2023'!Q105+'2022'!Q105+'2021'!Q105+'2019'!Q105+'2018'!Q105+'2017'!Q105+'2016'!Q105</f>
        <v>9</v>
      </c>
      <c r="R10" s="2">
        <f>'2024'!R105+'2023'!R105+'2022'!R105+'2021'!R105+'2019'!R105</f>
        <v>20</v>
      </c>
      <c r="S10" s="2">
        <f>'2024'!S105+'2023'!S105+'2022'!S105</f>
        <v>3</v>
      </c>
      <c r="T10" s="2">
        <f>'2024'!T105+'2023'!T105</f>
        <v>11</v>
      </c>
      <c r="U10" s="2">
        <v>0.0</v>
      </c>
    </row>
    <row r="11" ht="12.75" customHeight="1">
      <c r="A11" s="66" t="s">
        <v>15</v>
      </c>
      <c r="B11" s="2">
        <f>'2024'!B104+'2023'!B104+'2022'!B104+'2021'!B104+'2019'!B104+'2018'!B104+'2017'!B104+'2016'!B104+'2015'!B101+'2014'!B104+'2013'!B104+'2012'!B104+'2011'!B104+'2010'!B81</f>
        <v>172</v>
      </c>
      <c r="C11" s="2">
        <f>'2024'!C104+'2023'!C104+'2022'!C104+'2021'!C104+'2019'!C104+'2018'!C104+'2017'!C104+'2016'!C104+'2015'!C101+'2014'!C104+'2013'!C104+'2012'!C104+'2011'!C104+'2010'!C81</f>
        <v>88</v>
      </c>
      <c r="D11" s="2">
        <f>'2024'!D104+'2023'!D104+'2022'!D104+'2021'!D104+'2019'!D104+'2018'!D104+'2017'!D104+'2016'!D104+'2015'!D101+'2014'!D104+'2013'!D104+'2012'!D104+'2011'!D104+'2010'!D81</f>
        <v>72</v>
      </c>
      <c r="E11" s="2">
        <f>'2024'!E104+'2023'!E104+'2022'!E104+'2021'!E104+'2019'!E104+'2018'!E104+'2017'!E104+'2016'!E104+'2015'!E101+'2014'!E104+'2013'!E104+'2012'!E104+'2011'!E104+'2010'!E81</f>
        <v>73</v>
      </c>
      <c r="F11" s="2">
        <f>'2024'!F104+'2023'!F104+'2022'!F104+'2021'!F104+'2019'!F104+'2018'!F104+'2017'!F104+'2016'!F104+'2015'!F101+'2014'!F104+'2013'!F104+'2012'!F104+'2011'!F104+'2010'!F81</f>
        <v>199</v>
      </c>
      <c r="G11" s="2">
        <f>'2024'!G104+'2023'!G104+'2022'!G104+'2021'!G104+'2019'!G104+'2018'!G104+'2017'!G104+'2016'!G104+'2015'!G101+'2014'!G104+'2013'!G104+'2012'!G104+'2011'!G104+'2010'!G81</f>
        <v>77</v>
      </c>
      <c r="H11" s="2">
        <f>'2024'!H104+'2023'!H104+'2022'!H104+'2021'!H104+'2019'!H104+'2018'!H104+'2017'!H104+'2016'!H104+'2015'!H101+'2014'!H104+'2013'!H104+'2012'!H104+'2011'!H104+'2010'!H81</f>
        <v>101</v>
      </c>
      <c r="I11" s="2">
        <f>'2024'!I104+'2023'!I104+'2022'!I104+'2021'!I104+'2019'!I104+'2018'!I104+'2017'!I104+'2016'!I104+'2015'!I101+'2014'!I104+'2013'!I104+'2012'!I104+'2011'!I104+'2010'!I81</f>
        <v>114</v>
      </c>
      <c r="J11" s="2">
        <f>'2024'!J104+'2023'!J104+'2022'!J104+'2021'!J104+'2019'!J104+'2018'!J104+'2017'!J104+'2016'!J104+'2015'!J101+'2014'!J104+'2013'!J104+'2012'!J104+'2011'!J104+'2010'!J81</f>
        <v>115</v>
      </c>
      <c r="K11" s="2">
        <f>'2024'!K104+'2023'!K104+'2022'!K104+'2021'!K104+'2019'!K104+'2018'!K104+'2017'!K104+'2016'!K104+'2015'!K101+'2014'!K104+'2013'!K104+'2012'!K104+'2011'!K104+'2010'!K81</f>
        <v>36</v>
      </c>
      <c r="L11" s="2">
        <f>'2024'!L104+'2023'!L104+'2022'!L104+'2021'!L104+'2019'!L104+'2018'!L104+'2017'!L104+'2016'!L104+'2015'!L101+'2014'!L104+'2013'!L104+'2012'!L104+'2011'!L104+'2010'!L81</f>
        <v>14</v>
      </c>
      <c r="M11" s="2">
        <f>'2024'!M104+'2023'!M104+'2022'!M104+'2021'!M104+'2019'!M104+'2018'!M104+'2017'!M104+'2016'!M104+'2015'!M101+'2014'!M104+'2013'!M104+'2012'!M104+'2011'!M104+'2010'!M81</f>
        <v>20</v>
      </c>
      <c r="N11" s="2">
        <f>'2024'!N104+'2023'!N104+'2022'!N104+'2021'!N104+'2019'!N104+'2018'!N104+'2017'!N104+'2016'!N104+'2015'!N101+'2014'!N104+'2013'!N104+'2012'!N104+'2011'!N104+'2010'!N81</f>
        <v>8</v>
      </c>
      <c r="O11" s="2">
        <f>'2024'!O104+'2023'!O104+'2022'!O104+'2021'!O104+'2019'!O104+'2018'!O104+'2017'!O104+'2016'!O104+'2015'!O101+'2014'!O104+'2013'!O104+'2012'!O104+'2011'!O104+'2010'!O81</f>
        <v>10</v>
      </c>
      <c r="P11" s="2">
        <f>'2024'!P104+'2023'!P104+'2022'!P104+'2021'!P104+'2019'!P104+'2018'!P104+'2017'!P104+'2016'!P104+'2015'!P101+'2014'!P104+'2013'!P104+'2012'!P104+'2011'!P104+'2010'!P81</f>
        <v>1</v>
      </c>
      <c r="Q11" s="2">
        <f>'2024'!Q104+'2023'!Q104+'2022'!Q104+'2021'!Q104+'2019'!Q104+'2018'!Q104+'2017'!Q104+'2016'!Q104</f>
        <v>8</v>
      </c>
      <c r="R11" s="2">
        <f>'2024'!R104+'2023'!R104+'2022'!R104+'2021'!R104+'2019'!R104</f>
        <v>13</v>
      </c>
      <c r="S11" s="2">
        <f>'2024'!S104+'2023'!S104+'2022'!S104</f>
        <v>4</v>
      </c>
      <c r="T11" s="2">
        <f>'2024'!T104+'2023'!T104</f>
        <v>11</v>
      </c>
      <c r="U11" s="2">
        <v>0.0</v>
      </c>
    </row>
    <row r="12" ht="12.75" customHeight="1">
      <c r="A12" s="67" t="s">
        <v>17</v>
      </c>
      <c r="B12" s="2">
        <f>'2024'!B103+'2023'!B103+'2022'!B103+'2021'!B103+'2019'!B103+'2018'!B103+'2017'!B103+'2016'!B103+'2015'!B100+'2014'!B103+'2013'!B103+'2012'!B103+'2011'!B103+'2010'!B80</f>
        <v>80</v>
      </c>
      <c r="C12" s="2">
        <f>'2024'!C103+'2023'!C103+'2022'!C103+'2021'!C103+'2019'!C103+'2018'!C103+'2017'!C103+'2016'!C103+'2015'!C100+'2014'!C103+'2013'!C103+'2012'!C103+'2011'!C103+'2010'!C80</f>
        <v>56</v>
      </c>
      <c r="D12" s="2">
        <f>'2024'!D103+'2023'!D103+'2022'!D103+'2021'!D103+'2019'!D103+'2018'!D103+'2017'!D103+'2016'!D103+'2015'!D100+'2014'!D103+'2013'!D103+'2012'!D103+'2011'!D103+'2010'!D80</f>
        <v>56</v>
      </c>
      <c r="E12" s="2">
        <f>'2024'!E103+'2023'!E103+'2022'!E103+'2021'!E103+'2019'!E103+'2018'!E103+'2017'!E103+'2016'!E103+'2015'!E100+'2014'!E103+'2013'!E103+'2012'!E103+'2011'!E103+'2010'!E80</f>
        <v>80</v>
      </c>
      <c r="F12" s="2">
        <f>'2024'!F103+'2023'!F103+'2022'!F103+'2021'!F103+'2019'!F103+'2018'!F103+'2017'!F103+'2016'!F103+'2015'!F100+'2014'!F103+'2013'!F103+'2012'!F103+'2011'!F103+'2010'!F80</f>
        <v>114</v>
      </c>
      <c r="G12" s="2">
        <f>'2024'!G103+'2023'!G103+'2022'!G103+'2021'!G103+'2019'!G103+'2018'!G103+'2017'!G103+'2016'!G103+'2015'!G100+'2014'!G103+'2013'!G103+'2012'!G103+'2011'!G103+'2010'!G80</f>
        <v>47</v>
      </c>
      <c r="H12" s="2">
        <f>'2024'!H103+'2023'!H103+'2022'!H103+'2021'!H103+'2019'!H103+'2018'!H103+'2017'!H103+'2016'!H103+'2015'!H100+'2014'!H103+'2013'!H103+'2012'!H103+'2011'!H103+'2010'!H80</f>
        <v>74</v>
      </c>
      <c r="I12" s="2">
        <f>'2024'!I103+'2023'!I103+'2022'!I103+'2021'!I103+'2019'!I103+'2018'!I103+'2017'!I103+'2016'!I103+'2015'!I100+'2014'!I103+'2013'!I103+'2012'!I103+'2011'!I103+'2010'!I80</f>
        <v>65</v>
      </c>
      <c r="J12" s="2">
        <f>'2024'!J103+'2023'!J103+'2022'!J103+'2021'!J103+'2019'!J103+'2018'!J103+'2017'!J103+'2016'!J103+'2015'!J100+'2014'!J103+'2013'!J103+'2012'!J103+'2011'!J103+'2010'!J80</f>
        <v>91</v>
      </c>
      <c r="K12" s="2">
        <f>'2024'!K103+'2023'!K103+'2022'!K103+'2021'!K103+'2019'!K103+'2018'!K103+'2017'!K103+'2016'!K103+'2015'!K100+'2014'!K103+'2013'!K103+'2012'!K103+'2011'!K103+'2010'!K80</f>
        <v>19</v>
      </c>
      <c r="L12" s="2">
        <f>'2024'!L103+'2023'!L103+'2022'!L103+'2021'!L103+'2019'!L103+'2018'!L103+'2017'!L103+'2016'!L103+'2015'!L100+'2014'!L103+'2013'!L103+'2012'!L103+'2011'!L103+'2010'!L80</f>
        <v>14</v>
      </c>
      <c r="M12" s="2">
        <f>'2024'!M103+'2023'!M103+'2022'!M103+'2021'!M103+'2019'!M103+'2018'!M103+'2017'!M103+'2016'!M103+'2015'!M100+'2014'!M103+'2013'!M103+'2012'!M103+'2011'!M103+'2010'!M80</f>
        <v>4</v>
      </c>
      <c r="N12" s="2">
        <f>'2024'!N103+'2023'!N103+'2022'!N103+'2021'!N103+'2019'!N103+'2018'!N103+'2017'!N103+'2016'!N103+'2015'!N100+'2014'!N103+'2013'!N103+'2012'!N103+'2011'!N103+'2010'!N80</f>
        <v>2</v>
      </c>
      <c r="O12" s="2">
        <f>'2024'!O103+'2023'!O103+'2022'!O103+'2021'!O103+'2019'!O103+'2018'!O103+'2017'!O103+'2016'!O103+'2015'!O100+'2014'!O103+'2013'!O103+'2012'!O103+'2011'!O103+'2010'!O80</f>
        <v>9</v>
      </c>
      <c r="P12" s="2">
        <f>'2024'!P103+'2023'!P103+'2022'!P103+'2021'!P103+'2019'!P103+'2018'!P103+'2017'!P103+'2016'!P103+'2015'!P100+'2014'!P103+'2013'!P103+'2012'!P103+'2011'!P103+'2010'!P80</f>
        <v>1</v>
      </c>
      <c r="Q12" s="2">
        <f>'2024'!Q103+'2023'!Q103+'2022'!Q103+'2021'!Q103+'2019'!Q103+'2018'!Q103+'2017'!Q103+'2016'!Q103</f>
        <v>5</v>
      </c>
      <c r="R12" s="2">
        <f>'2024'!R103+'2023'!R103+'2022'!R103+'2021'!R103+'2019'!R103</f>
        <v>8</v>
      </c>
      <c r="S12" s="2">
        <f>'2023'!S103+'2022'!S103</f>
        <v>1</v>
      </c>
      <c r="T12" s="2">
        <f>'2024'!T103+'2023'!T103</f>
        <v>7</v>
      </c>
      <c r="U12" s="2">
        <v>0.0</v>
      </c>
    </row>
    <row r="13" ht="12.75" customHeight="1">
      <c r="Q13" s="2" t="s">
        <v>620</v>
      </c>
      <c r="R13" s="2" t="s">
        <v>621</v>
      </c>
      <c r="S13" s="2" t="s">
        <v>622</v>
      </c>
      <c r="T13" s="2" t="s">
        <v>623</v>
      </c>
    </row>
    <row r="14" ht="12.75" customHeight="1"/>
    <row r="15" ht="12.75" customHeight="1">
      <c r="A15" s="2"/>
      <c r="E15" s="2"/>
      <c r="F15" s="2"/>
    </row>
    <row r="16" ht="12.75" customHeight="1">
      <c r="A16" s="2"/>
      <c r="B16" s="2"/>
      <c r="C16" s="2"/>
      <c r="E16" s="2"/>
      <c r="F16" s="2"/>
    </row>
    <row r="17" ht="12.75" customHeight="1">
      <c r="A17" s="2"/>
      <c r="B17" s="2"/>
      <c r="C17" s="2"/>
      <c r="E17" s="2"/>
      <c r="F17" s="2"/>
      <c r="P17" s="68" t="s">
        <v>624</v>
      </c>
      <c r="Q17" s="69"/>
      <c r="R17" s="69"/>
      <c r="S17" s="70"/>
    </row>
    <row r="18" ht="12.75" customHeight="1">
      <c r="A18" s="71" t="s">
        <v>625</v>
      </c>
      <c r="B18" s="2">
        <v>2009.0</v>
      </c>
      <c r="C18" s="2">
        <v>2010.0</v>
      </c>
      <c r="E18" s="2">
        <v>2011.0</v>
      </c>
      <c r="F18" s="2">
        <v>2013.0</v>
      </c>
      <c r="P18" s="72"/>
      <c r="S18" s="38"/>
    </row>
    <row r="19" ht="12.75" customHeight="1">
      <c r="B19" s="2">
        <v>2012.0</v>
      </c>
      <c r="C19" s="2">
        <v>2011.0</v>
      </c>
      <c r="F19" s="2">
        <v>2015.0</v>
      </c>
      <c r="P19" s="72"/>
      <c r="Q19" s="73"/>
      <c r="R19" s="74">
        <f>B2+C2+D2+E2+F2+G2+H2+I2+J2+K2+L2+M2+N2+O2+R2+T2</f>
        <v>7133.75</v>
      </c>
      <c r="S19" s="38"/>
    </row>
    <row r="20" ht="12.75" customHeight="1">
      <c r="B20" s="2">
        <v>2014.0</v>
      </c>
      <c r="F20" s="2">
        <v>2016.0</v>
      </c>
      <c r="P20" s="72"/>
      <c r="Q20" s="73"/>
      <c r="R20" s="74">
        <f>Q2</f>
        <v>48</v>
      </c>
      <c r="S20" s="38"/>
    </row>
    <row r="21" ht="12.75" customHeight="1">
      <c r="F21" s="2">
        <v>2017.0</v>
      </c>
      <c r="P21" s="72"/>
      <c r="Q21" s="73"/>
      <c r="R21" s="74">
        <f>S2</f>
        <v>18</v>
      </c>
      <c r="S21" s="38"/>
    </row>
    <row r="22" ht="12.75" customHeight="1">
      <c r="F22" s="2">
        <v>2018.0</v>
      </c>
      <c r="P22" s="72"/>
      <c r="Q22" s="73"/>
      <c r="R22" s="74">
        <v>0.0</v>
      </c>
      <c r="S22" s="38"/>
    </row>
    <row r="23" ht="12.75" customHeight="1">
      <c r="F23" s="2">
        <v>2019.0</v>
      </c>
      <c r="P23" s="72"/>
      <c r="S23" s="38"/>
    </row>
    <row r="24" ht="12.75" customHeight="1">
      <c r="F24" s="2">
        <v>2020.0</v>
      </c>
      <c r="P24" s="75"/>
      <c r="Q24" s="76"/>
      <c r="R24" s="76"/>
      <c r="S24" s="77"/>
    </row>
    <row r="25" ht="12.75" customHeight="1">
      <c r="F25" s="2">
        <v>2021.0</v>
      </c>
    </row>
    <row r="26" ht="12.75" customHeight="1">
      <c r="F26" s="2">
        <v>2022.0</v>
      </c>
    </row>
    <row r="27" ht="12.75" customHeight="1">
      <c r="F27" s="2">
        <v>2023.0</v>
      </c>
    </row>
    <row r="28" ht="12.75" customHeight="1">
      <c r="F28" s="2">
        <v>2024.0</v>
      </c>
    </row>
    <row r="29" ht="12.75" customHeight="1"/>
    <row r="30" ht="12.75" customHeight="1"/>
    <row r="31" ht="12.75" customHeight="1">
      <c r="B31" s="73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P17:S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2018-07-08T15:40:57Z</dcterms:created>
  <dc:creator>carlos castrillo</dc:creator>
</cp:coreProperties>
</file>